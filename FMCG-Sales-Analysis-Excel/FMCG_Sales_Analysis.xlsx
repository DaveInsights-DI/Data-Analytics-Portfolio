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avid Mattew\Desktop\"/>
    </mc:Choice>
  </mc:AlternateContent>
  <xr:revisionPtr revIDLastSave="0" documentId="13_ncr:1_{B8037AFC-B7DF-4811-BFC1-4E1C22438F4A}" xr6:coauthVersionLast="47" xr6:coauthVersionMax="47" xr10:uidLastSave="{00000000-0000-0000-0000-000000000000}"/>
  <bookViews>
    <workbookView xWindow="-110" yWindow="-110" windowWidth="19420" windowHeight="10300" firstSheet="1" activeTab="3" xr2:uid="{00000000-000D-0000-FFFF-FFFF00000000}"/>
  </bookViews>
  <sheets>
    <sheet name="Sales_Transactions" sheetId="1" r:id="rId1"/>
    <sheet name="Dashboard" sheetId="9" r:id="rId2"/>
    <sheet name="PIVOT_TABLES" sheetId="10" r:id="rId3"/>
    <sheet name="Cleaned_Sales_Data" sheetId="4" r:id="rId4"/>
    <sheet name="Product_Catalog" sheetId="2" r:id="rId5"/>
    <sheet name="Customer_Profiles" sheetId="3" r:id="rId6"/>
  </sheets>
  <definedNames>
    <definedName name="Slicer_Customer_Segment">#N/A</definedName>
    <definedName name="Slicer_Store_Branch">#N/A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9" i="4" l="1"/>
  <c r="W8" i="4"/>
  <c r="W7" i="4"/>
  <c r="U4"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2" i="4"/>
</calcChain>
</file>

<file path=xl/sharedStrings.xml><?xml version="1.0" encoding="utf-8"?>
<sst xmlns="http://schemas.openxmlformats.org/spreadsheetml/2006/main" count="2103" uniqueCount="385">
  <si>
    <t>Transaction_ID</t>
  </si>
  <si>
    <t>Order_Date</t>
  </si>
  <si>
    <t>Customer_ID</t>
  </si>
  <si>
    <t>Gender</t>
  </si>
  <si>
    <t>Product_ID</t>
  </si>
  <si>
    <t>Quantity_Sold</t>
  </si>
  <si>
    <t>Unit_Cost_NGN</t>
  </si>
  <si>
    <t>Unit_Price_NGN</t>
  </si>
  <si>
    <t>Total_Revenue_NGN</t>
  </si>
  <si>
    <t>Total_Cost_NGN</t>
  </si>
  <si>
    <t>Profit_NGN</t>
  </si>
  <si>
    <t>Profit_Margin_Pct</t>
  </si>
  <si>
    <t>Store_Branch</t>
  </si>
  <si>
    <t>Payment_Method</t>
  </si>
  <si>
    <t>TXN-10001</t>
  </si>
  <si>
    <t>2026-04-13</t>
  </si>
  <si>
    <t>CUST2001</t>
  </si>
  <si>
    <t>female</t>
  </si>
  <si>
    <t>PRD103</t>
  </si>
  <si>
    <t>lagos main</t>
  </si>
  <si>
    <t>pos</t>
  </si>
  <si>
    <t>TXN-10002</t>
  </si>
  <si>
    <t>2026-06-29</t>
  </si>
  <si>
    <t>CUST2010</t>
  </si>
  <si>
    <t>Female</t>
  </si>
  <si>
    <t>PRD105</t>
  </si>
  <si>
    <t>Abuja Central</t>
  </si>
  <si>
    <t>Bank Transfer</t>
  </si>
  <si>
    <t>TXN-10003</t>
  </si>
  <si>
    <t>2026-04-03</t>
  </si>
  <si>
    <t>PRD107</t>
  </si>
  <si>
    <t>Port Harcourt Hub</t>
  </si>
  <si>
    <t>Cash</t>
  </si>
  <si>
    <t>TXN-10004</t>
  </si>
  <si>
    <t>2026-01-15</t>
  </si>
  <si>
    <t>CUST2012</t>
  </si>
  <si>
    <t>PRD109</t>
  </si>
  <si>
    <t>Kano Retail</t>
  </si>
  <si>
    <t>USSD</t>
  </si>
  <si>
    <t>TXN-10005</t>
  </si>
  <si>
    <t>2026-04-17</t>
  </si>
  <si>
    <t>CUST2009</t>
  </si>
  <si>
    <t>Male</t>
  </si>
  <si>
    <t>Ibadan Depot</t>
  </si>
  <si>
    <t>POS</t>
  </si>
  <si>
    <t>TXN-10006</t>
  </si>
  <si>
    <t>2026-03-13</t>
  </si>
  <si>
    <t>PRD108</t>
  </si>
  <si>
    <t>Lagos Main</t>
  </si>
  <si>
    <t>TXN-10007</t>
  </si>
  <si>
    <t>2026-01-21</t>
  </si>
  <si>
    <t>PRD102</t>
  </si>
  <si>
    <t>TXN-10008</t>
  </si>
  <si>
    <t>CUST2007</t>
  </si>
  <si>
    <t>port harcourt hub</t>
  </si>
  <si>
    <t>TXN-10009</t>
  </si>
  <si>
    <t>2026-05-02</t>
  </si>
  <si>
    <t>CUST2005</t>
  </si>
  <si>
    <t>TXN-10010</t>
  </si>
  <si>
    <t>2026-03-16</t>
  </si>
  <si>
    <t>bank transfer</t>
  </si>
  <si>
    <t>TXN-10011</t>
  </si>
  <si>
    <t>2026-03-29</t>
  </si>
  <si>
    <t>CUST2006</t>
  </si>
  <si>
    <t>TXN-10012</t>
  </si>
  <si>
    <t>2026-04-27</t>
  </si>
  <si>
    <t xml:space="preserve">  Abuja Central </t>
  </si>
  <si>
    <t>TXN-10013</t>
  </si>
  <si>
    <t>2026-04-10</t>
  </si>
  <si>
    <t>TXN-10014</t>
  </si>
  <si>
    <t>2026-04-14</t>
  </si>
  <si>
    <t>TXN-10015</t>
  </si>
  <si>
    <t>2026-06-01</t>
  </si>
  <si>
    <t>ibadan depot</t>
  </si>
  <si>
    <t>TXN-10016</t>
  </si>
  <si>
    <t>2026-05-11</t>
  </si>
  <si>
    <t>CUST2015</t>
  </si>
  <si>
    <t>TXN-10017</t>
  </si>
  <si>
    <t>2026-05-30</t>
  </si>
  <si>
    <t>CUST2011</t>
  </si>
  <si>
    <t>TXN-10018</t>
  </si>
  <si>
    <t>2026-02-22</t>
  </si>
  <si>
    <t xml:space="preserve"> Female </t>
  </si>
  <si>
    <t>TXN-10019</t>
  </si>
  <si>
    <t>2026-01-02</t>
  </si>
  <si>
    <t>PRD110</t>
  </si>
  <si>
    <t>cash</t>
  </si>
  <si>
    <t>TXN-10020</t>
  </si>
  <si>
    <t>TXN-10021</t>
  </si>
  <si>
    <t>2026-06-07</t>
  </si>
  <si>
    <t>TXN-10022</t>
  </si>
  <si>
    <t>2026-02-07</t>
  </si>
  <si>
    <t>CUST2013</t>
  </si>
  <si>
    <t>PRD104</t>
  </si>
  <si>
    <t>abuja central</t>
  </si>
  <si>
    <t>TXN-10023</t>
  </si>
  <si>
    <t>2026-05-10</t>
  </si>
  <si>
    <t>CUST2014</t>
  </si>
  <si>
    <t xml:space="preserve">  Port Harcourt Hub </t>
  </si>
  <si>
    <t>TXN-10024</t>
  </si>
  <si>
    <t>TXN-10025</t>
  </si>
  <si>
    <t>2026-06-10</t>
  </si>
  <si>
    <t>TXN-10026</t>
  </si>
  <si>
    <t>2026-02-27</t>
  </si>
  <si>
    <t>TXN-10027</t>
  </si>
  <si>
    <t>2026-01-22</t>
  </si>
  <si>
    <t>male</t>
  </si>
  <si>
    <t>TXN-10028</t>
  </si>
  <si>
    <t>2026-03-30</t>
  </si>
  <si>
    <t>ussd</t>
  </si>
  <si>
    <t>TXN-10029</t>
  </si>
  <si>
    <t>2026-02-18</t>
  </si>
  <si>
    <t>kano retail</t>
  </si>
  <si>
    <t>TXN-10030</t>
  </si>
  <si>
    <t>2026-02-28</t>
  </si>
  <si>
    <t>TXN-10031</t>
  </si>
  <si>
    <t>2026-06-19</t>
  </si>
  <si>
    <t>PRD106</t>
  </si>
  <si>
    <t>TXN-10032</t>
  </si>
  <si>
    <t>TXN-10033</t>
  </si>
  <si>
    <t>2026-06-24</t>
  </si>
  <si>
    <t>TXN-10034</t>
  </si>
  <si>
    <t>2026-02-20</t>
  </si>
  <si>
    <t xml:space="preserve">  Kano Retail </t>
  </si>
  <si>
    <t>TXN-10035</t>
  </si>
  <si>
    <t>2026-04-18</t>
  </si>
  <si>
    <t>PRD101</t>
  </si>
  <si>
    <t>TXN-10036</t>
  </si>
  <si>
    <t>2026-02-24</t>
  </si>
  <si>
    <t>TXN-10037</t>
  </si>
  <si>
    <t>2026-03-05</t>
  </si>
  <si>
    <t>CUST2004</t>
  </si>
  <si>
    <t>TXN-10038</t>
  </si>
  <si>
    <t>CUST2003</t>
  </si>
  <si>
    <t>TXN-10039</t>
  </si>
  <si>
    <t>TXN-10040</t>
  </si>
  <si>
    <t>2026-05-15</t>
  </si>
  <si>
    <t>TXN-10041</t>
  </si>
  <si>
    <t>TXN-10042</t>
  </si>
  <si>
    <t>2026-03-14</t>
  </si>
  <si>
    <t>TXN-10043</t>
  </si>
  <si>
    <t>2026-06-16</t>
  </si>
  <si>
    <t>TXN-10044</t>
  </si>
  <si>
    <t>2026-01-18</t>
  </si>
  <si>
    <t>TXN-10045</t>
  </si>
  <si>
    <t>2026-05-12</t>
  </si>
  <si>
    <t>CUST2008</t>
  </si>
  <si>
    <t xml:space="preserve">  Ibadan Depot </t>
  </si>
  <si>
    <t>TXN-10046</t>
  </si>
  <si>
    <t>TXN-10047</t>
  </si>
  <si>
    <t>2026-03-01</t>
  </si>
  <si>
    <t>TXN-10048</t>
  </si>
  <si>
    <t>2026-01-14</t>
  </si>
  <si>
    <t>TXN-10049</t>
  </si>
  <si>
    <t>2026-01-09</t>
  </si>
  <si>
    <t>TXN-10050</t>
  </si>
  <si>
    <t>2026-03-31</t>
  </si>
  <si>
    <t>CUST2002</t>
  </si>
  <si>
    <t>TXN-10051</t>
  </si>
  <si>
    <t>TXN-10052</t>
  </si>
  <si>
    <t>TXN-10053</t>
  </si>
  <si>
    <t>2026-03-25</t>
  </si>
  <si>
    <t>TXN-10054</t>
  </si>
  <si>
    <t>2026-04-02</t>
  </si>
  <si>
    <t>TXN-10055</t>
  </si>
  <si>
    <t>2026-04-21</t>
  </si>
  <si>
    <t>TXN-10056</t>
  </si>
  <si>
    <t>2026-06-21</t>
  </si>
  <si>
    <t xml:space="preserve">  Lagos Main </t>
  </si>
  <si>
    <t>TXN-10057</t>
  </si>
  <si>
    <t>2026-01-08</t>
  </si>
  <si>
    <t>TXN-10058</t>
  </si>
  <si>
    <t>TXN-10059</t>
  </si>
  <si>
    <t>2026-02-04</t>
  </si>
  <si>
    <t>TXN-10060</t>
  </si>
  <si>
    <t>2026-03-22</t>
  </si>
  <si>
    <t>TXN-10061</t>
  </si>
  <si>
    <t>2026-06-13</t>
  </si>
  <si>
    <t>TXN-10062</t>
  </si>
  <si>
    <t>2026-02-19</t>
  </si>
  <si>
    <t>TXN-10063</t>
  </si>
  <si>
    <t>TXN-10064</t>
  </si>
  <si>
    <t>TXN-10065</t>
  </si>
  <si>
    <t>TXN-10066</t>
  </si>
  <si>
    <t>2026-05-14</t>
  </si>
  <si>
    <t>TXN-10067</t>
  </si>
  <si>
    <t>2026-02-23</t>
  </si>
  <si>
    <t>TXN-10068</t>
  </si>
  <si>
    <t>2026-04-16</t>
  </si>
  <si>
    <t>TXN-10069</t>
  </si>
  <si>
    <t>2026-01-04</t>
  </si>
  <si>
    <t xml:space="preserve"> Male </t>
  </si>
  <si>
    <t>TXN-10070</t>
  </si>
  <si>
    <t>TXN-10071</t>
  </si>
  <si>
    <t>2026-05-26</t>
  </si>
  <si>
    <t>TXN-10072</t>
  </si>
  <si>
    <t>2026-02-13</t>
  </si>
  <si>
    <t>TXN-10073</t>
  </si>
  <si>
    <t>2026-06-11</t>
  </si>
  <si>
    <t>TXN-10074</t>
  </si>
  <si>
    <t>TXN-10075</t>
  </si>
  <si>
    <t>2026-04-05</t>
  </si>
  <si>
    <t>TXN-10076</t>
  </si>
  <si>
    <t>2026-02-17</t>
  </si>
  <si>
    <t>TXN-10077</t>
  </si>
  <si>
    <t>TXN-10078</t>
  </si>
  <si>
    <t>2026-02-09</t>
  </si>
  <si>
    <t>TXN-10079</t>
  </si>
  <si>
    <t>2026-03-23</t>
  </si>
  <si>
    <t>TXN-10080</t>
  </si>
  <si>
    <t>TXN-10081</t>
  </si>
  <si>
    <t>TXN-10082</t>
  </si>
  <si>
    <t>2026-01-24</t>
  </si>
  <si>
    <t>TXN-10083</t>
  </si>
  <si>
    <t>2026-06-03</t>
  </si>
  <si>
    <t>TXN-10084</t>
  </si>
  <si>
    <t>2026-05-04</t>
  </si>
  <si>
    <t>TXN-10085</t>
  </si>
  <si>
    <t>2026-02-10</t>
  </si>
  <si>
    <t>TXN-10086</t>
  </si>
  <si>
    <t>2026-06-06</t>
  </si>
  <si>
    <t>TXN-10087</t>
  </si>
  <si>
    <t>TXN-10088</t>
  </si>
  <si>
    <t>2026-02-14</t>
  </si>
  <si>
    <t>TXN-10089</t>
  </si>
  <si>
    <t>2026-03-06</t>
  </si>
  <si>
    <t>TXN-10090</t>
  </si>
  <si>
    <t>TXN-10091</t>
  </si>
  <si>
    <t>2026-03-12</t>
  </si>
  <si>
    <t>TXN-10092</t>
  </si>
  <si>
    <t>TXN-10093</t>
  </si>
  <si>
    <t>TXN-10094</t>
  </si>
  <si>
    <t>2026-05-09</t>
  </si>
  <si>
    <t>TXN-10095</t>
  </si>
  <si>
    <t>2026-05-16</t>
  </si>
  <si>
    <t>TXN-10096</t>
  </si>
  <si>
    <t>2026-03-04</t>
  </si>
  <si>
    <t>TXN-10097</t>
  </si>
  <si>
    <t>2026-05-19</t>
  </si>
  <si>
    <t>TXN-10098</t>
  </si>
  <si>
    <t>TXN-10099</t>
  </si>
  <si>
    <t>TXN-10100</t>
  </si>
  <si>
    <t>2026-06-12</t>
  </si>
  <si>
    <t>Product_Name</t>
  </si>
  <si>
    <t>Category</t>
  </si>
  <si>
    <t>Malt Beverage 33cl</t>
  </si>
  <si>
    <t>Beverages</t>
  </si>
  <si>
    <t>Instant Noodles 70g</t>
  </si>
  <si>
    <t>Packaged Food</t>
  </si>
  <si>
    <t>Whole Milk Powder 400g</t>
  </si>
  <si>
    <t>Dairy</t>
  </si>
  <si>
    <t>Laundry Detergent 1kg</t>
  </si>
  <si>
    <t>Household</t>
  </si>
  <si>
    <t>Vegetable Oil 1L</t>
  </si>
  <si>
    <t>Cooking Ingredients</t>
  </si>
  <si>
    <t>Toilet Soap 120g</t>
  </si>
  <si>
    <t>Personal Care</t>
  </si>
  <si>
    <t>Basmati Rice 5kg</t>
  </si>
  <si>
    <t>Grains</t>
  </si>
  <si>
    <t>Tomato Paste 400g</t>
  </si>
  <si>
    <t>Fruit Juice 1L</t>
  </si>
  <si>
    <t>Toothpaste 140g</t>
  </si>
  <si>
    <t>Customer_Name</t>
  </si>
  <si>
    <t>Customer_Segment</t>
  </si>
  <si>
    <t>Location_State</t>
  </si>
  <si>
    <t>Amina Bello</t>
  </si>
  <si>
    <t>Retail</t>
  </si>
  <si>
    <t>Lagos</t>
  </si>
  <si>
    <t>Chidi Okeke</t>
  </si>
  <si>
    <t>Wholesale</t>
  </si>
  <si>
    <t>Abuja</t>
  </si>
  <si>
    <t>Funke Adebayo</t>
  </si>
  <si>
    <t>Rivers</t>
  </si>
  <si>
    <t>Emeka Nwosu</t>
  </si>
  <si>
    <t>Corporate</t>
  </si>
  <si>
    <t>Kano</t>
  </si>
  <si>
    <t>Zainab Ibrahim</t>
  </si>
  <si>
    <t>Tunde Bakare</t>
  </si>
  <si>
    <t>Oyo</t>
  </si>
  <si>
    <t>Ngozi Eze</t>
  </si>
  <si>
    <t>Ibrahim Musa</t>
  </si>
  <si>
    <t>Kaduna</t>
  </si>
  <si>
    <t>Yinka Ogundipe</t>
  </si>
  <si>
    <t>Blessing John</t>
  </si>
  <si>
    <t>Kelechi Amadi</t>
  </si>
  <si>
    <t>Enugu</t>
  </si>
  <si>
    <t>Fatima Abubakar</t>
  </si>
  <si>
    <t>Seyi Oladipo</t>
  </si>
  <si>
    <t>Uche Nwachukwu</t>
  </si>
  <si>
    <t>Hadiza Usman</t>
  </si>
  <si>
    <t>Product Name</t>
  </si>
  <si>
    <t>13-Apr-2026</t>
  </si>
  <si>
    <t>29-Jun-2026</t>
  </si>
  <si>
    <t>03-Apr-2026</t>
  </si>
  <si>
    <t>15-Jan-2026</t>
  </si>
  <si>
    <t>17-Apr-2026</t>
  </si>
  <si>
    <t>13-Mar-2026</t>
  </si>
  <si>
    <t>21-Jan-2026</t>
  </si>
  <si>
    <t>02-May-2026</t>
  </si>
  <si>
    <t>16-Mar-2026</t>
  </si>
  <si>
    <t>29-Mar-2026</t>
  </si>
  <si>
    <t>27-Apr-2026</t>
  </si>
  <si>
    <t>10-Apr-2026</t>
  </si>
  <si>
    <t>14-Apr-2026</t>
  </si>
  <si>
    <t>01-Jun-2026</t>
  </si>
  <si>
    <t>11-May-2026</t>
  </si>
  <si>
    <t>30-May-2026</t>
  </si>
  <si>
    <t>22-Feb-2026</t>
  </si>
  <si>
    <t>02-Jan-2026</t>
  </si>
  <si>
    <t>07-Jun-2026</t>
  </si>
  <si>
    <t>07-Feb-2026</t>
  </si>
  <si>
    <t>10-May-2026</t>
  </si>
  <si>
    <t>10-Jun-2026</t>
  </si>
  <si>
    <t>27-Feb-2026</t>
  </si>
  <si>
    <t>22-Jan-2026</t>
  </si>
  <si>
    <t>30-Mar-2026</t>
  </si>
  <si>
    <t>18-Feb-2026</t>
  </si>
  <si>
    <t>28-Feb-2026</t>
  </si>
  <si>
    <t>19-Jun-2026</t>
  </si>
  <si>
    <t>24-Jun-2026</t>
  </si>
  <si>
    <t>20-Feb-2026</t>
  </si>
  <si>
    <t>18-Apr-2026</t>
  </si>
  <si>
    <t>24-Feb-2026</t>
  </si>
  <si>
    <t>05-Mar-2026</t>
  </si>
  <si>
    <t>15-May-2026</t>
  </si>
  <si>
    <t>14-Mar-2026</t>
  </si>
  <si>
    <t>16-Jun-2026</t>
  </si>
  <si>
    <t>18-Jan-2026</t>
  </si>
  <si>
    <t>12-May-2026</t>
  </si>
  <si>
    <t>01-Mar-2026</t>
  </si>
  <si>
    <t>14-Jan-2026</t>
  </si>
  <si>
    <t>09-Jan-2026</t>
  </si>
  <si>
    <t>31-Mar-2026</t>
  </si>
  <si>
    <t>25-Mar-2026</t>
  </si>
  <si>
    <t>02-Apr-2026</t>
  </si>
  <si>
    <t>21-Apr-2026</t>
  </si>
  <si>
    <t>21-Jun-2026</t>
  </si>
  <si>
    <t>08-Jan-2026</t>
  </si>
  <si>
    <t>04-Feb-2026</t>
  </si>
  <si>
    <t>22-Mar-2026</t>
  </si>
  <si>
    <t>13-Jun-2026</t>
  </si>
  <si>
    <t>19-Feb-2026</t>
  </si>
  <si>
    <t>14-May-2026</t>
  </si>
  <si>
    <t>23-Feb-2026</t>
  </si>
  <si>
    <t>16-Apr-2026</t>
  </si>
  <si>
    <t>04-Jan-2026</t>
  </si>
  <si>
    <t>26-May-2026</t>
  </si>
  <si>
    <t>13-Feb-2026</t>
  </si>
  <si>
    <t>11-Jun-2026</t>
  </si>
  <si>
    <t>05-Apr-2026</t>
  </si>
  <si>
    <t>17-Feb-2026</t>
  </si>
  <si>
    <t>09-Feb-2026</t>
  </si>
  <si>
    <t>23-Mar-2026</t>
  </si>
  <si>
    <t>24-Jan-2026</t>
  </si>
  <si>
    <t>03-Jun-2026</t>
  </si>
  <si>
    <t>04-May-2026</t>
  </si>
  <si>
    <t>10-Feb-2026</t>
  </si>
  <si>
    <t>06-Jun-2026</t>
  </si>
  <si>
    <t>14-Feb-2026</t>
  </si>
  <si>
    <t>06-Mar-2026</t>
  </si>
  <si>
    <t>12-Mar-2026</t>
  </si>
  <si>
    <t>09-May-2026</t>
  </si>
  <si>
    <t>16-May-2026</t>
  </si>
  <si>
    <t>04-Mar-2026</t>
  </si>
  <si>
    <t>19-May-2026</t>
  </si>
  <si>
    <t>12-Jun-2026</t>
  </si>
  <si>
    <t>BANK TRANSFER</t>
  </si>
  <si>
    <t>CASH</t>
  </si>
  <si>
    <t>Row Labels</t>
  </si>
  <si>
    <t>Grand Total</t>
  </si>
  <si>
    <t>Sum of Total_Revenue_NGN</t>
  </si>
  <si>
    <t>Month</t>
  </si>
  <si>
    <t>May</t>
  </si>
  <si>
    <t>Sum of Profit_NGN</t>
  </si>
  <si>
    <t>April</t>
  </si>
  <si>
    <t>June</t>
  </si>
  <si>
    <t>January</t>
  </si>
  <si>
    <t>March</t>
  </si>
  <si>
    <t>February</t>
  </si>
  <si>
    <t>AVG PROFIT MARGIN</t>
  </si>
  <si>
    <t>TOTAL UNIT SOLD</t>
  </si>
  <si>
    <t>TOTAL TRANSACTIONS</t>
  </si>
  <si>
    <t>Column1</t>
  </si>
  <si>
    <t>Column2</t>
  </si>
  <si>
    <t>Column3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</si>
</sst>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3" x14ac:knownFonts="1">
    <font>
      <sz val="11"/>
      <color theme="1"/>
      <name val="Calibri"/>
      <family val="2"/>
      <scheme val="minor"/>
    </font>
    <font>
      <b/>
      <sz val="11"/>
      <name val="Calibri"/>
    </font>
    <font>
      <b/>
      <sz val="11"/>
      <color theme="0"/>
      <name val="Calibri"/>
      <family val="2"/>
    </font>
  </fonts>
  <fills count="3">
    <fill>
      <patternFill patternType="none"/>
    </fill>
    <fill>
      <patternFill patternType="gray125"/>
    </fill>
    <fill>
      <patternFill patternType="solid">
        <fgColor theme="3"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4" fontId="0" fillId="0" borderId="0" xfId="0" applyNumberFormat="1"/>
    <xf numFmtId="164" fontId="0" fillId="0" borderId="0" xfId="0" applyNumberFormat="1"/>
    <xf numFmtId="9" fontId="0" fillId="0" borderId="0" xfId="0" applyNumberFormat="1"/>
    <xf numFmtId="0" fontId="2" fillId="2" borderId="1" xfId="0" applyFont="1" applyFill="1" applyBorder="1" applyAlignment="1">
      <alignment horizontal="center" vertical="top"/>
    </xf>
    <xf numFmtId="14" fontId="2" fillId="2" borderId="1" xfId="0" applyNumberFormat="1" applyFont="1" applyFill="1" applyBorder="1" applyAlignment="1">
      <alignment horizontal="center" vertical="top"/>
    </xf>
    <xf numFmtId="164" fontId="2" fillId="2" borderId="1" xfId="0" applyNumberFormat="1" applyFont="1" applyFill="1" applyBorder="1" applyAlignment="1">
      <alignment horizontal="center" vertical="top"/>
    </xf>
    <xf numFmtId="9" fontId="2" fillId="2" borderId="1" xfId="0" applyNumberFormat="1" applyFont="1" applyFill="1" applyBorder="1" applyAlignment="1">
      <alignment horizontal="center" vertical="top"/>
    </xf>
    <xf numFmtId="0" fontId="2" fillId="2" borderId="0" xfId="0" applyFont="1" applyFill="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13">
    <dxf>
      <numFmt numFmtId="13"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9" formatCode="dd/mm/yyyy"/>
    </dxf>
    <dxf>
      <numFmt numFmtId="19" formatCode="dd/mm/yyyy"/>
    </dxf>
    <dxf>
      <font>
        <color theme="6" tint="0.79998168889431442"/>
      </font>
    </dxf>
    <dxf>
      <font>
        <color theme="6" tint="0.79998168889431442"/>
      </font>
    </dxf>
    <dxf>
      <fill>
        <patternFill>
          <bgColor rgb="FF3B4A1E"/>
        </patternFill>
      </fill>
    </dxf>
    <dxf>
      <border diagonalUp="0" diagonalDown="0">
        <left style="thin">
          <color auto="1"/>
        </left>
        <right style="thin">
          <color auto="1"/>
        </right>
        <top style="thin">
          <color auto="1"/>
        </top>
        <bottom/>
        <vertical/>
        <horizontal/>
      </border>
    </dxf>
    <dxf>
      <font>
        <color theme="6" tint="0.79998168889431442"/>
      </font>
    </dxf>
  </dxfs>
  <tableStyles count="10" defaultTableStyle="TableStyleMedium9" defaultPivotStyle="PivotStyleLight16">
    <tableStyle name="Slicer Style 1" pivot="0" table="0" count="0" xr9:uid="{50DAFBCE-162C-4821-A571-759BDAAF615D}"/>
    <tableStyle name="Slicer Style 10" pivot="0" table="0" count="3" xr9:uid="{EA77146E-E7D1-4FDF-A020-556E7BC6B4CC}">
      <tableStyleElement type="headerRow" dxfId="12"/>
    </tableStyle>
    <tableStyle name="Slicer Style 2" pivot="0" table="0" count="0" xr9:uid="{6536C4C6-8536-4B4A-9EE7-DA510C0BA288}"/>
    <tableStyle name="Slicer Style 3" pivot="0" table="0" count="0" xr9:uid="{80A9C8B6-AD01-4400-B560-AE567E76F478}"/>
    <tableStyle name="Slicer Style 4" pivot="0" table="0" count="0" xr9:uid="{FD800411-784B-4933-A974-EC7C85B477FC}"/>
    <tableStyle name="Slicer Style 5" pivot="0" table="0" count="0" xr9:uid="{2D81FE36-A5C5-426B-9628-131BFA7E74D8}"/>
    <tableStyle name="Slicer Style 6" pivot="0" table="0" count="1" xr9:uid="{DD02823A-7274-4833-B13B-4B2A5EF0971E}">
      <tableStyleElement type="wholeTable" dxfId="11"/>
    </tableStyle>
    <tableStyle name="Slicer Style 7" pivot="0" table="0" count="1" xr9:uid="{F529E2C5-8362-4021-9A00-7B842168E8A5}">
      <tableStyleElement type="wholeTable" dxfId="10"/>
    </tableStyle>
    <tableStyle name="Slicer Style 8" pivot="0" table="0" count="1" xr9:uid="{EAF0E651-8E7F-4850-BA6B-2CD95BAECFE8}">
      <tableStyleElement type="headerRow" dxfId="9"/>
    </tableStyle>
    <tableStyle name="Slicer Style 9" pivot="0" table="0" count="1" xr9:uid="{C446D6F0-A516-4F7A-AF8B-65470FB70564}">
      <tableStyleElement type="headerRow" dxfId="8"/>
    </tableStyle>
  </tableStyles>
  <colors>
    <mruColors>
      <color rgb="FF284612"/>
      <color rgb="FF607731"/>
      <color rgb="FFCC0000"/>
      <color rgb="FF3B4A1E"/>
      <color rgb="FF483132"/>
      <color rgb="FF283214"/>
    </mruColors>
  </colors>
  <extLst>
    <ext xmlns:x14="http://schemas.microsoft.com/office/spreadsheetml/2009/9/main" uri="{46F421CA-312F-682f-3DD2-61675219B42D}">
      <x14:dxfs count="2">
        <dxf>
          <font>
            <color theme="6" tint="0.79998168889431442"/>
          </font>
        </dxf>
        <dxf>
          <font>
            <color theme="6" tint="0.79998168889431442"/>
          </font>
        </dxf>
      </x14:dxfs>
    </ext>
    <ext xmlns:x14="http://schemas.microsoft.com/office/spreadsheetml/2009/9/main" uri="{EB79DEF2-80B8-43e5-95BD-54CBDDF9020C}">
      <x14:slicerStyles defaultSlicerStyle="SlicerStyleLight1">
        <x14:slicerStyle name="Slicer Style 1"/>
        <x14:slicerStyle name="Slicer Style 10">
          <x14:slicerStyleElements>
            <x14:slicerStyleElement type="unselectedItemWithData" dxfId="1"/>
            <x14:slicerStyleElement type="selectedItemWithData" dxfId="0"/>
          </x14:slicerStyleElements>
        </x14:slicerStyle>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[FMCG-Sales-Analysis.xlsx.xlsx]PIVOT_TABLES!PivotTable1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Best</a:t>
            </a:r>
            <a:r>
              <a:rPr lang="en-US" sz="1200" b="1" baseline="0">
                <a:solidFill>
                  <a:schemeClr val="tx1">
                    <a:lumMod val="95000"/>
                    <a:lumOff val="5000"/>
                  </a:schemeClr>
                </a:solidFill>
              </a:rPr>
              <a:t> Performing Locations</a:t>
            </a:r>
            <a:endParaRPr lang="en-US" sz="1200" b="1">
              <a:solidFill>
                <a:schemeClr val="tx1">
                  <a:lumMod val="95000"/>
                  <a:lumOff val="5000"/>
                </a:schemeClr>
              </a:solidFill>
            </a:endParaRPr>
          </a:p>
        </c:rich>
      </c:tx>
      <c:layout>
        <c:manualLayout>
          <c:xMode val="edge"/>
          <c:yMode val="edge"/>
          <c:x val="7.0275590551181107E-3"/>
          <c:y val="2.0833333333333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846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Sum of Total_Revenue_NGN</c:v>
                </c:pt>
              </c:strCache>
            </c:strRef>
          </c:tx>
          <c:spPr>
            <a:solidFill>
              <a:srgbClr val="284612"/>
            </a:solidFill>
            <a:ln>
              <a:noFill/>
            </a:ln>
            <a:effectLst/>
          </c:spPr>
          <c:invertIfNegative val="0"/>
          <c:cat>
            <c:strRef>
              <c:f>PIVOT_TABLES!$A$4:$A$9</c:f>
              <c:strCache>
                <c:ptCount val="5"/>
                <c:pt idx="0">
                  <c:v>Abuja Central</c:v>
                </c:pt>
                <c:pt idx="1">
                  <c:v>Ibadan Depot</c:v>
                </c:pt>
                <c:pt idx="2">
                  <c:v>Kano Retail</c:v>
                </c:pt>
                <c:pt idx="3">
                  <c:v>Lagos Main</c:v>
                </c:pt>
                <c:pt idx="4">
                  <c:v>Port Harcourt Hub</c:v>
                </c:pt>
              </c:strCache>
            </c:strRef>
          </c:cat>
          <c:val>
            <c:numRef>
              <c:f>PIVOT_TABLES!$B$4:$B$9</c:f>
              <c:numCache>
                <c:formatCode>"₦"#,##0.00</c:formatCode>
                <c:ptCount val="5"/>
                <c:pt idx="0">
                  <c:v>698960</c:v>
                </c:pt>
                <c:pt idx="1">
                  <c:v>576660</c:v>
                </c:pt>
                <c:pt idx="2">
                  <c:v>491360</c:v>
                </c:pt>
                <c:pt idx="3">
                  <c:v>472700</c:v>
                </c:pt>
                <c:pt idx="4">
                  <c:v>427520</c:v>
                </c:pt>
              </c:numCache>
            </c:numRef>
          </c:val>
          <c:extLst>
            <c:ext xmlns:c16="http://schemas.microsoft.com/office/drawing/2014/chart" uri="{C3380CC4-5D6E-409C-BE32-E72D297353CC}">
              <c16:uniqueId val="{00000000-BB8C-4C2F-B662-5CA2660CFEE7}"/>
            </c:ext>
          </c:extLst>
        </c:ser>
        <c:ser>
          <c:idx val="1"/>
          <c:order val="1"/>
          <c:tx>
            <c:strRef>
              <c:f>PIVOT_TABLES!$C$3</c:f>
              <c:strCache>
                <c:ptCount val="1"/>
                <c:pt idx="0">
                  <c:v>Sum of Profit_NGN</c:v>
                </c:pt>
              </c:strCache>
            </c:strRef>
          </c:tx>
          <c:spPr>
            <a:solidFill>
              <a:srgbClr val="CC0000"/>
            </a:solidFill>
            <a:ln>
              <a:noFill/>
            </a:ln>
            <a:effectLst/>
          </c:spPr>
          <c:invertIfNegative val="0"/>
          <c:cat>
            <c:strRef>
              <c:f>PIVOT_TABLES!$A$4:$A$9</c:f>
              <c:strCache>
                <c:ptCount val="5"/>
                <c:pt idx="0">
                  <c:v>Abuja Central</c:v>
                </c:pt>
                <c:pt idx="1">
                  <c:v>Ibadan Depot</c:v>
                </c:pt>
                <c:pt idx="2">
                  <c:v>Kano Retail</c:v>
                </c:pt>
                <c:pt idx="3">
                  <c:v>Lagos Main</c:v>
                </c:pt>
                <c:pt idx="4">
                  <c:v>Port Harcourt Hub</c:v>
                </c:pt>
              </c:strCache>
            </c:strRef>
          </c:cat>
          <c:val>
            <c:numRef>
              <c:f>PIVOT_TABLES!$C$4:$C$9</c:f>
              <c:numCache>
                <c:formatCode>"₦"#,##0.00</c:formatCode>
                <c:ptCount val="5"/>
                <c:pt idx="0">
                  <c:v>176170</c:v>
                </c:pt>
                <c:pt idx="1">
                  <c:v>147370</c:v>
                </c:pt>
                <c:pt idx="2">
                  <c:v>125670</c:v>
                </c:pt>
                <c:pt idx="3">
                  <c:v>120050</c:v>
                </c:pt>
                <c:pt idx="4">
                  <c:v>109190</c:v>
                </c:pt>
              </c:numCache>
            </c:numRef>
          </c:val>
          <c:extLst>
            <c:ext xmlns:c16="http://schemas.microsoft.com/office/drawing/2014/chart" uri="{C3380CC4-5D6E-409C-BE32-E72D297353CC}">
              <c16:uniqueId val="{00000001-BB8C-4C2F-B662-5CA2660CFEE7}"/>
            </c:ext>
          </c:extLst>
        </c:ser>
        <c:dLbls>
          <c:showLegendKey val="0"/>
          <c:showVal val="0"/>
          <c:showCatName val="0"/>
          <c:showSerName val="0"/>
          <c:showPercent val="0"/>
          <c:showBubbleSize val="0"/>
        </c:dLbls>
        <c:gapWidth val="219"/>
        <c:overlap val="-27"/>
        <c:axId val="598654400"/>
        <c:axId val="490792784"/>
      </c:barChart>
      <c:catAx>
        <c:axId val="598654400"/>
        <c:scaling>
          <c:orientation val="minMax"/>
        </c:scaling>
        <c:delete val="0"/>
        <c:axPos val="b"/>
        <c:numFmt formatCode="General" sourceLinked="1"/>
        <c:majorTickMark val="none"/>
        <c:minorTickMark val="none"/>
        <c:tickLblPos val="nextTo"/>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490792784"/>
        <c:crosses val="autoZero"/>
        <c:auto val="1"/>
        <c:lblAlgn val="ctr"/>
        <c:lblOffset val="100"/>
        <c:noMultiLvlLbl val="0"/>
      </c:catAx>
      <c:valAx>
        <c:axId val="490792784"/>
        <c:scaling>
          <c:orientation val="minMax"/>
        </c:scaling>
        <c:delete val="0"/>
        <c:axPos val="l"/>
        <c:numFmt formatCode="&quot;₦&quot;#,##0.00" sourceLinked="1"/>
        <c:majorTickMark val="none"/>
        <c:minorTickMark val="none"/>
        <c:tickLblPos val="nextTo"/>
        <c:spPr>
          <a:noFill/>
          <a:ln w="9525" cap="flat" cmpd="sng" algn="ctr">
            <a:solidFill>
              <a:schemeClr val="accent2">
                <a:shade val="95000"/>
                <a:satMod val="105000"/>
              </a:schemeClr>
            </a:solidFill>
            <a:prstDash val="soli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NG"/>
          </a:p>
        </c:txPr>
        <c:crossAx val="59865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a:innerShdw blurRad="114300">
        <a:prstClr val="black"/>
      </a:inn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[FMCG-Sales-Analysis.xlsx.xlsx]PIVOT_TABLES!PivotTable3</c:name>
    <c:fmtId val="2"/>
  </c:pivotSource>
  <c:chart>
    <c:title>
      <c:tx>
        <c:rich>
          <a:bodyPr rot="0" spcFirstLastPara="1" vertOverflow="ellipsis" vert="horz" wrap="square" anchor="ctr" anchorCtr="1"/>
          <a:lstStyle/>
          <a:p>
            <a:pPr>
              <a:defRPr sz="1200" b="1" i="0" u="none" strike="noStrike" kern="1200" spc="0" baseline="0">
                <a:solidFill>
                  <a:schemeClr val="tx1">
                    <a:lumMod val="95000"/>
                    <a:lumOff val="5000"/>
                  </a:schemeClr>
                </a:solidFill>
                <a:latin typeface="+mn-lt"/>
                <a:ea typeface="+mn-ea"/>
                <a:cs typeface="+mn-cs"/>
              </a:defRPr>
            </a:pPr>
            <a:r>
              <a:rPr lang="en-US" sz="1200" b="1">
                <a:solidFill>
                  <a:schemeClr val="tx1">
                    <a:lumMod val="95000"/>
                    <a:lumOff val="5000"/>
                  </a:schemeClr>
                </a:solidFill>
              </a:rPr>
              <a:t>Revenue</a:t>
            </a:r>
            <a:r>
              <a:rPr lang="en-US" sz="1200" b="1" baseline="0">
                <a:solidFill>
                  <a:schemeClr val="tx1">
                    <a:lumMod val="95000"/>
                    <a:lumOff val="5000"/>
                  </a:schemeClr>
                </a:solidFill>
              </a:rPr>
              <a:t> And Profit By Product Category</a:t>
            </a:r>
            <a:endParaRPr lang="en-US" sz="1200" b="1">
              <a:solidFill>
                <a:schemeClr val="tx1">
                  <a:lumMod val="95000"/>
                  <a:lumOff val="5000"/>
                </a:schemeClr>
              </a:solidFill>
            </a:endParaRPr>
          </a:p>
        </c:rich>
      </c:tx>
      <c:layout>
        <c:manualLayout>
          <c:xMode val="edge"/>
          <c:yMode val="edge"/>
          <c:x val="1.7727205197120555E-2"/>
          <c:y val="2.127659574468085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846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c:f>
              <c:strCache>
                <c:ptCount val="1"/>
                <c:pt idx="0">
                  <c:v>Sum of Total_Revenue_NGN</c:v>
                </c:pt>
              </c:strCache>
            </c:strRef>
          </c:tx>
          <c:spPr>
            <a:solidFill>
              <a:srgbClr val="284612"/>
            </a:solidFill>
            <a:ln>
              <a:noFill/>
            </a:ln>
            <a:effectLst/>
          </c:spPr>
          <c:invertIfNegative val="0"/>
          <c:cat>
            <c:strRef>
              <c:f>PIVOT_TABLES!$A$12:$A$19</c:f>
              <c:strCache>
                <c:ptCount val="7"/>
                <c:pt idx="0">
                  <c:v>Beverages</c:v>
                </c:pt>
                <c:pt idx="1">
                  <c:v>Cooking Ingredients</c:v>
                </c:pt>
                <c:pt idx="2">
                  <c:v>Dairy</c:v>
                </c:pt>
                <c:pt idx="3">
                  <c:v>Grains</c:v>
                </c:pt>
                <c:pt idx="4">
                  <c:v>Household</c:v>
                </c:pt>
                <c:pt idx="5">
                  <c:v>Packaged Food</c:v>
                </c:pt>
                <c:pt idx="6">
                  <c:v>Personal Care</c:v>
                </c:pt>
              </c:strCache>
            </c:strRef>
          </c:cat>
          <c:val>
            <c:numRef>
              <c:f>PIVOT_TABLES!$B$12:$B$19</c:f>
              <c:numCache>
                <c:formatCode>"₦"#,##0.00</c:formatCode>
                <c:ptCount val="7"/>
                <c:pt idx="0">
                  <c:v>223450</c:v>
                </c:pt>
                <c:pt idx="1">
                  <c:v>389050</c:v>
                </c:pt>
                <c:pt idx="2">
                  <c:v>412800</c:v>
                </c:pt>
                <c:pt idx="3">
                  <c:v>1351500</c:v>
                </c:pt>
                <c:pt idx="4">
                  <c:v>190800</c:v>
                </c:pt>
                <c:pt idx="5">
                  <c:v>13500</c:v>
                </c:pt>
                <c:pt idx="6">
                  <c:v>86100</c:v>
                </c:pt>
              </c:numCache>
            </c:numRef>
          </c:val>
          <c:extLst>
            <c:ext xmlns:c16="http://schemas.microsoft.com/office/drawing/2014/chart" uri="{C3380CC4-5D6E-409C-BE32-E72D297353CC}">
              <c16:uniqueId val="{00000000-40A1-4BC9-A796-2A89701332A6}"/>
            </c:ext>
          </c:extLst>
        </c:ser>
        <c:ser>
          <c:idx val="1"/>
          <c:order val="1"/>
          <c:tx>
            <c:strRef>
              <c:f>PIVOT_TABLES!$C$11</c:f>
              <c:strCache>
                <c:ptCount val="1"/>
                <c:pt idx="0">
                  <c:v>Sum of Profit_NGN</c:v>
                </c:pt>
              </c:strCache>
            </c:strRef>
          </c:tx>
          <c:spPr>
            <a:solidFill>
              <a:srgbClr val="CC0000"/>
            </a:solidFill>
            <a:ln>
              <a:noFill/>
            </a:ln>
            <a:effectLst/>
          </c:spPr>
          <c:invertIfNegative val="0"/>
          <c:cat>
            <c:strRef>
              <c:f>PIVOT_TABLES!$A$12:$A$19</c:f>
              <c:strCache>
                <c:ptCount val="7"/>
                <c:pt idx="0">
                  <c:v>Beverages</c:v>
                </c:pt>
                <c:pt idx="1">
                  <c:v>Cooking Ingredients</c:v>
                </c:pt>
                <c:pt idx="2">
                  <c:v>Dairy</c:v>
                </c:pt>
                <c:pt idx="3">
                  <c:v>Grains</c:v>
                </c:pt>
                <c:pt idx="4">
                  <c:v>Household</c:v>
                </c:pt>
                <c:pt idx="5">
                  <c:v>Packaged Food</c:v>
                </c:pt>
                <c:pt idx="6">
                  <c:v>Personal Care</c:v>
                </c:pt>
              </c:strCache>
            </c:strRef>
          </c:cat>
          <c:val>
            <c:numRef>
              <c:f>PIVOT_TABLES!$C$12:$C$19</c:f>
              <c:numCache>
                <c:formatCode>"₦"#,##0.00</c:formatCode>
                <c:ptCount val="7"/>
                <c:pt idx="0">
                  <c:v>69450</c:v>
                </c:pt>
                <c:pt idx="1">
                  <c:v>100050</c:v>
                </c:pt>
                <c:pt idx="2">
                  <c:v>103200</c:v>
                </c:pt>
                <c:pt idx="3">
                  <c:v>318000</c:v>
                </c:pt>
                <c:pt idx="4">
                  <c:v>55650</c:v>
                </c:pt>
                <c:pt idx="5">
                  <c:v>4500</c:v>
                </c:pt>
                <c:pt idx="6">
                  <c:v>27600</c:v>
                </c:pt>
              </c:numCache>
            </c:numRef>
          </c:val>
          <c:extLst>
            <c:ext xmlns:c16="http://schemas.microsoft.com/office/drawing/2014/chart" uri="{C3380CC4-5D6E-409C-BE32-E72D297353CC}">
              <c16:uniqueId val="{00000001-40A1-4BC9-A796-2A89701332A6}"/>
            </c:ext>
          </c:extLst>
        </c:ser>
        <c:dLbls>
          <c:showLegendKey val="0"/>
          <c:showVal val="0"/>
          <c:showCatName val="0"/>
          <c:showSerName val="0"/>
          <c:showPercent val="0"/>
          <c:showBubbleSize val="0"/>
        </c:dLbls>
        <c:gapWidth val="219"/>
        <c:overlap val="-27"/>
        <c:axId val="598487712"/>
        <c:axId val="487260208"/>
      </c:barChart>
      <c:catAx>
        <c:axId val="598487712"/>
        <c:scaling>
          <c:orientation val="minMax"/>
        </c:scaling>
        <c:delete val="0"/>
        <c:axPos val="b"/>
        <c:numFmt formatCode="General" sourceLinked="1"/>
        <c:majorTickMark val="none"/>
        <c:minorTickMark val="none"/>
        <c:tickLblPos val="nextTo"/>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1"/>
          <a:lstStyle/>
          <a:p>
            <a:pPr>
              <a:defRPr sz="800" b="1" i="0" u="none" strike="noStrike" kern="1200" baseline="0">
                <a:solidFill>
                  <a:schemeClr val="tx1">
                    <a:lumMod val="95000"/>
                    <a:lumOff val="5000"/>
                  </a:schemeClr>
                </a:solidFill>
                <a:latin typeface="+mn-lt"/>
                <a:ea typeface="+mn-ea"/>
                <a:cs typeface="+mn-cs"/>
              </a:defRPr>
            </a:pPr>
            <a:endParaRPr lang="en-NG"/>
          </a:p>
        </c:txPr>
        <c:crossAx val="487260208"/>
        <c:crosses val="autoZero"/>
        <c:auto val="1"/>
        <c:lblAlgn val="ctr"/>
        <c:lblOffset val="100"/>
        <c:noMultiLvlLbl val="0"/>
      </c:catAx>
      <c:valAx>
        <c:axId val="487260208"/>
        <c:scaling>
          <c:orientation val="minMax"/>
        </c:scaling>
        <c:delete val="0"/>
        <c:axPos val="l"/>
        <c:numFmt formatCode="&quot;₦&quot;#,##0.00" sourceLinked="1"/>
        <c:majorTickMark val="out"/>
        <c:minorTickMark val="none"/>
        <c:tickLblPos val="nextTo"/>
        <c:spPr>
          <a:noFill/>
          <a:ln w="9525" cap="flat" cmpd="sng" algn="ctr">
            <a:solidFill>
              <a:schemeClr val="accent2">
                <a:shade val="95000"/>
                <a:satMod val="105000"/>
              </a:schemeClr>
            </a:solidFill>
            <a:prstDash val="soli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59848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a:innerShdw blurRad="114300">
        <a:prstClr val="black"/>
      </a:inn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[FMCG-Sales-Analysis.xlsx.xlsx]PIVOT_TABLES!PivotTable5</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Monthly</a:t>
            </a:r>
            <a:r>
              <a:rPr lang="en-US" sz="1200" b="1" baseline="0">
                <a:solidFill>
                  <a:schemeClr val="tx1">
                    <a:lumMod val="95000"/>
                    <a:lumOff val="5000"/>
                  </a:schemeClr>
                </a:solidFill>
              </a:rPr>
              <a:t> Revenue Trend</a:t>
            </a:r>
            <a:endParaRPr lang="en-US" sz="1200" b="1">
              <a:solidFill>
                <a:schemeClr val="tx1">
                  <a:lumMod val="95000"/>
                  <a:lumOff val="5000"/>
                </a:schemeClr>
              </a:solidFill>
            </a:endParaRPr>
          </a:p>
        </c:rich>
      </c:tx>
      <c:layout>
        <c:manualLayout>
          <c:xMode val="edge"/>
          <c:yMode val="edge"/>
          <c:x val="2.8855340954809006E-2"/>
          <c:y val="2.843246450139643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461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PIVOT_TABLES!$B$27</c:f>
              <c:strCache>
                <c:ptCount val="1"/>
                <c:pt idx="0">
                  <c:v>Total</c:v>
                </c:pt>
              </c:strCache>
            </c:strRef>
          </c:tx>
          <c:spPr>
            <a:solidFill>
              <a:srgbClr val="284612"/>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PIVOT_TABLES!$A$28:$A$34</c:f>
              <c:strCache>
                <c:ptCount val="6"/>
                <c:pt idx="0">
                  <c:v>January</c:v>
                </c:pt>
                <c:pt idx="1">
                  <c:v>February</c:v>
                </c:pt>
                <c:pt idx="2">
                  <c:v>March</c:v>
                </c:pt>
                <c:pt idx="3">
                  <c:v>April</c:v>
                </c:pt>
                <c:pt idx="4">
                  <c:v>May</c:v>
                </c:pt>
                <c:pt idx="5">
                  <c:v>June</c:v>
                </c:pt>
              </c:strCache>
            </c:strRef>
          </c:cat>
          <c:val>
            <c:numRef>
              <c:f>PIVOT_TABLES!$B$28:$B$34</c:f>
              <c:numCache>
                <c:formatCode>"₦"#,##0.00</c:formatCode>
                <c:ptCount val="6"/>
                <c:pt idx="0">
                  <c:v>441140</c:v>
                </c:pt>
                <c:pt idx="1">
                  <c:v>569950</c:v>
                </c:pt>
                <c:pt idx="2">
                  <c:v>411850</c:v>
                </c:pt>
                <c:pt idx="3">
                  <c:v>399110</c:v>
                </c:pt>
                <c:pt idx="4">
                  <c:v>368800</c:v>
                </c:pt>
                <c:pt idx="5">
                  <c:v>476350</c:v>
                </c:pt>
              </c:numCache>
            </c:numRef>
          </c:val>
          <c:extLst>
            <c:ext xmlns:c16="http://schemas.microsoft.com/office/drawing/2014/chart" uri="{C3380CC4-5D6E-409C-BE32-E72D297353CC}">
              <c16:uniqueId val="{00000000-4A75-450B-83A0-5840742E7FC5}"/>
            </c:ext>
          </c:extLst>
        </c:ser>
        <c:dLbls>
          <c:showLegendKey val="0"/>
          <c:showVal val="1"/>
          <c:showCatName val="0"/>
          <c:showSerName val="0"/>
          <c:showPercent val="0"/>
          <c:showBubbleSize val="0"/>
        </c:dLbls>
        <c:gapWidth val="219"/>
        <c:overlap val="-27"/>
        <c:axId val="598665536"/>
        <c:axId val="487242448"/>
      </c:barChart>
      <c:catAx>
        <c:axId val="598665536"/>
        <c:scaling>
          <c:orientation val="minMax"/>
        </c:scaling>
        <c:delete val="0"/>
        <c:axPos val="b"/>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NG"/>
          </a:p>
        </c:txPr>
        <c:crossAx val="487242448"/>
        <c:crosses val="autoZero"/>
        <c:auto val="1"/>
        <c:lblAlgn val="ctr"/>
        <c:lblOffset val="100"/>
        <c:noMultiLvlLbl val="0"/>
      </c:catAx>
      <c:valAx>
        <c:axId val="487242448"/>
        <c:scaling>
          <c:orientation val="minMax"/>
        </c:scaling>
        <c:delete val="1"/>
        <c:axPos val="l"/>
        <c:numFmt formatCode="&quot;₦&quot;#,##0.00" sourceLinked="1"/>
        <c:majorTickMark val="none"/>
        <c:minorTickMark val="none"/>
        <c:tickLblPos val="nextTo"/>
        <c:crossAx val="59866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a:innerShdw blurRad="114300">
        <a:prstClr val="black"/>
      </a:inn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[FMCG-Sales-Analysis.xlsx.xlsx]PIVOT_TABLES!PivotTable4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Revenue</a:t>
            </a:r>
            <a:r>
              <a:rPr lang="en-US" sz="1200" b="1" baseline="0">
                <a:solidFill>
                  <a:schemeClr val="tx1">
                    <a:lumMod val="95000"/>
                    <a:lumOff val="5000"/>
                  </a:schemeClr>
                </a:solidFill>
              </a:rPr>
              <a:t> By  customer Segment</a:t>
            </a:r>
            <a:endParaRPr lang="en-US" sz="1200" b="1">
              <a:solidFill>
                <a:schemeClr val="tx1">
                  <a:lumMod val="95000"/>
                  <a:lumOff val="5000"/>
                </a:schemeClr>
              </a:solidFill>
            </a:endParaRPr>
          </a:p>
        </c:rich>
      </c:tx>
      <c:layout>
        <c:manualLayout>
          <c:xMode val="edge"/>
          <c:yMode val="edge"/>
          <c:x val="3.0136986301369868E-3"/>
          <c:y val="2.84697508896797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607731"/>
          </a:solidFill>
          <a:ln w="19050">
            <a:noFill/>
          </a:ln>
          <a:effectLst/>
        </c:spPr>
        <c:dLbl>
          <c:idx val="0"/>
          <c:layout>
            <c:manualLayout>
              <c:x val="-4.2845431992233843E-3"/>
              <c:y val="-7.575019122465198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CC0000"/>
          </a:solidFill>
          <a:ln w="19050">
            <a:noFill/>
          </a:ln>
          <a:effectLst/>
        </c:spPr>
        <c:dLbl>
          <c:idx val="0"/>
          <c:layout>
            <c:manualLayout>
              <c:x val="3.3669722791500378E-2"/>
              <c:y val="-7.46154578325273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284612"/>
          </a:solidFill>
          <a:ln w="19050">
            <a:noFill/>
          </a:ln>
          <a:effectLst/>
        </c:spPr>
        <c:dLbl>
          <c:idx val="0"/>
          <c:layout>
            <c:manualLayout>
              <c:x val="3.6862905835400715E-2"/>
              <c:y val="-6.2964228662253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PIVOT_TABLES!$B$21</c:f>
              <c:strCache>
                <c:ptCount val="1"/>
                <c:pt idx="0">
                  <c:v>Total</c:v>
                </c:pt>
              </c:strCache>
            </c:strRef>
          </c:tx>
          <c:spPr>
            <a:ln>
              <a:noFill/>
            </a:ln>
          </c:spPr>
          <c:dPt>
            <c:idx val="0"/>
            <c:bubble3D val="0"/>
            <c:spPr>
              <a:solidFill>
                <a:srgbClr val="607731"/>
              </a:solidFill>
              <a:ln w="19050">
                <a:noFill/>
              </a:ln>
              <a:effectLst/>
            </c:spPr>
            <c:extLst>
              <c:ext xmlns:c16="http://schemas.microsoft.com/office/drawing/2014/chart" uri="{C3380CC4-5D6E-409C-BE32-E72D297353CC}">
                <c16:uniqueId val="{00000001-C394-41C6-BA0A-469BB760A554}"/>
              </c:ext>
            </c:extLst>
          </c:dPt>
          <c:dPt>
            <c:idx val="1"/>
            <c:bubble3D val="0"/>
            <c:spPr>
              <a:solidFill>
                <a:srgbClr val="CC0000"/>
              </a:solidFill>
              <a:ln w="19050">
                <a:noFill/>
              </a:ln>
              <a:effectLst/>
            </c:spPr>
            <c:extLst>
              <c:ext xmlns:c16="http://schemas.microsoft.com/office/drawing/2014/chart" uri="{C3380CC4-5D6E-409C-BE32-E72D297353CC}">
                <c16:uniqueId val="{00000003-C394-41C6-BA0A-469BB760A554}"/>
              </c:ext>
            </c:extLst>
          </c:dPt>
          <c:dPt>
            <c:idx val="2"/>
            <c:bubble3D val="0"/>
            <c:spPr>
              <a:solidFill>
                <a:srgbClr val="284612"/>
              </a:solidFill>
              <a:ln w="19050">
                <a:noFill/>
              </a:ln>
              <a:effectLst/>
            </c:spPr>
            <c:extLst>
              <c:ext xmlns:c16="http://schemas.microsoft.com/office/drawing/2014/chart" uri="{C3380CC4-5D6E-409C-BE32-E72D297353CC}">
                <c16:uniqueId val="{00000005-C394-41C6-BA0A-469BB760A554}"/>
              </c:ext>
            </c:extLst>
          </c:dPt>
          <c:dLbls>
            <c:dLbl>
              <c:idx val="0"/>
              <c:layout>
                <c:manualLayout>
                  <c:x val="-4.2845431992233843E-3"/>
                  <c:y val="-7.5750191224651982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394-41C6-BA0A-469BB760A554}"/>
                </c:ext>
              </c:extLst>
            </c:dLbl>
            <c:dLbl>
              <c:idx val="1"/>
              <c:layout>
                <c:manualLayout>
                  <c:x val="3.3669722791500378E-2"/>
                  <c:y val="-7.461545783252734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394-41C6-BA0A-469BB760A554}"/>
                </c:ext>
              </c:extLst>
            </c:dLbl>
            <c:dLbl>
              <c:idx val="2"/>
              <c:layout>
                <c:manualLayout>
                  <c:x val="3.6862905835400715E-2"/>
                  <c:y val="-6.29642286622531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394-41C6-BA0A-469BB760A55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PIVOT_TABLES!$A$22:$A$25</c:f>
              <c:strCache>
                <c:ptCount val="3"/>
                <c:pt idx="0">
                  <c:v>Corporate</c:v>
                </c:pt>
                <c:pt idx="1">
                  <c:v>Retail</c:v>
                </c:pt>
                <c:pt idx="2">
                  <c:v>Wholesale</c:v>
                </c:pt>
              </c:strCache>
            </c:strRef>
          </c:cat>
          <c:val>
            <c:numRef>
              <c:f>PIVOT_TABLES!$B$22:$B$25</c:f>
              <c:numCache>
                <c:formatCode>"₦"#,##0.00</c:formatCode>
                <c:ptCount val="3"/>
                <c:pt idx="0">
                  <c:v>628100</c:v>
                </c:pt>
                <c:pt idx="1">
                  <c:v>1129580</c:v>
                </c:pt>
                <c:pt idx="2">
                  <c:v>909520</c:v>
                </c:pt>
              </c:numCache>
            </c:numRef>
          </c:val>
          <c:extLst>
            <c:ext xmlns:c16="http://schemas.microsoft.com/office/drawing/2014/chart" uri="{C3380CC4-5D6E-409C-BE32-E72D297353CC}">
              <c16:uniqueId val="{00000006-C394-41C6-BA0A-469BB760A5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a:innerShdw blurRad="114300">
        <a:prstClr val="black"/>
      </a:inn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[FMCG-Sales-Analysis.xlsx.xlsx]PIVOT_TABLES!PivotTable6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Top</a:t>
            </a:r>
            <a:r>
              <a:rPr lang="en-US" sz="1200" b="1" baseline="0">
                <a:solidFill>
                  <a:schemeClr val="tx1">
                    <a:lumMod val="95000"/>
                    <a:lumOff val="5000"/>
                  </a:schemeClr>
                </a:solidFill>
              </a:rPr>
              <a:t> 10 Product</a:t>
            </a:r>
            <a:endParaRPr lang="en-US" sz="1200" b="1">
              <a:solidFill>
                <a:schemeClr val="tx1">
                  <a:lumMod val="95000"/>
                  <a:lumOff val="5000"/>
                </a:schemeClr>
              </a:solidFill>
            </a:endParaRPr>
          </a:p>
        </c:rich>
      </c:tx>
      <c:layout>
        <c:manualLayout>
          <c:xMode val="edge"/>
          <c:yMode val="edge"/>
          <c:x val="0.37867203219315898"/>
          <c:y val="4.28571428571428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461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84612"/>
          </a:solidFill>
          <a:ln>
            <a:noFill/>
          </a:ln>
          <a:effectLst/>
        </c:spPr>
      </c:pivotFmt>
    </c:pivotFmts>
    <c:plotArea>
      <c:layout>
        <c:manualLayout>
          <c:layoutTarget val="inner"/>
          <c:xMode val="edge"/>
          <c:yMode val="edge"/>
          <c:x val="0.14255194774081231"/>
          <c:y val="0.16492857142857142"/>
          <c:w val="0.84746865566753449"/>
          <c:h val="0.35607480314960632"/>
        </c:manualLayout>
      </c:layout>
      <c:barChart>
        <c:barDir val="col"/>
        <c:grouping val="clustered"/>
        <c:varyColors val="0"/>
        <c:ser>
          <c:idx val="0"/>
          <c:order val="0"/>
          <c:tx>
            <c:strRef>
              <c:f>PIVOT_TABLES!$B$36</c:f>
              <c:strCache>
                <c:ptCount val="1"/>
                <c:pt idx="0">
                  <c:v>Total</c:v>
                </c:pt>
              </c:strCache>
            </c:strRef>
          </c:tx>
          <c:spPr>
            <a:solidFill>
              <a:srgbClr val="28461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95000"/>
                        <a:lumOff val="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PIVOT_TABLES!$A$37:$A$47</c:f>
              <c:strCache>
                <c:ptCount val="10"/>
                <c:pt idx="0">
                  <c:v>Basmati Rice 5kg</c:v>
                </c:pt>
                <c:pt idx="1">
                  <c:v>Whole Milk Powder 400g</c:v>
                </c:pt>
                <c:pt idx="2">
                  <c:v>Vegetable Oil 1L</c:v>
                </c:pt>
                <c:pt idx="3">
                  <c:v>Laundry Detergent 1kg</c:v>
                </c:pt>
                <c:pt idx="4">
                  <c:v>Fruit Juice 1L</c:v>
                </c:pt>
                <c:pt idx="5">
                  <c:v>Tomato Paste 400g</c:v>
                </c:pt>
                <c:pt idx="6">
                  <c:v>Malt Beverage 33cl</c:v>
                </c:pt>
                <c:pt idx="7">
                  <c:v>Toilet Soap 120g</c:v>
                </c:pt>
                <c:pt idx="8">
                  <c:v>Toothpaste 140g</c:v>
                </c:pt>
                <c:pt idx="9">
                  <c:v>Instant Noodles 70g</c:v>
                </c:pt>
              </c:strCache>
            </c:strRef>
          </c:cat>
          <c:val>
            <c:numRef>
              <c:f>PIVOT_TABLES!$B$37:$B$47</c:f>
              <c:numCache>
                <c:formatCode>"₦"#,##0.00</c:formatCode>
                <c:ptCount val="10"/>
                <c:pt idx="0">
                  <c:v>1351500</c:v>
                </c:pt>
                <c:pt idx="1">
                  <c:v>412800</c:v>
                </c:pt>
                <c:pt idx="2">
                  <c:v>272600</c:v>
                </c:pt>
                <c:pt idx="3">
                  <c:v>190800</c:v>
                </c:pt>
                <c:pt idx="4">
                  <c:v>172700</c:v>
                </c:pt>
                <c:pt idx="5">
                  <c:v>116450</c:v>
                </c:pt>
                <c:pt idx="6">
                  <c:v>50750</c:v>
                </c:pt>
                <c:pt idx="7">
                  <c:v>43200</c:v>
                </c:pt>
                <c:pt idx="8">
                  <c:v>42900</c:v>
                </c:pt>
                <c:pt idx="9">
                  <c:v>13500</c:v>
                </c:pt>
              </c:numCache>
            </c:numRef>
          </c:val>
          <c:extLst>
            <c:ext xmlns:c16="http://schemas.microsoft.com/office/drawing/2014/chart" uri="{C3380CC4-5D6E-409C-BE32-E72D297353CC}">
              <c16:uniqueId val="{00000000-261E-4E78-896D-932D95A4A218}"/>
            </c:ext>
          </c:extLst>
        </c:ser>
        <c:dLbls>
          <c:showLegendKey val="0"/>
          <c:showVal val="1"/>
          <c:showCatName val="0"/>
          <c:showSerName val="0"/>
          <c:showPercent val="0"/>
          <c:showBubbleSize val="0"/>
        </c:dLbls>
        <c:gapWidth val="219"/>
        <c:overlap val="-27"/>
        <c:axId val="80286784"/>
        <c:axId val="424143824"/>
      </c:barChart>
      <c:catAx>
        <c:axId val="80286784"/>
        <c:scaling>
          <c:orientation val="minMax"/>
        </c:scaling>
        <c:delete val="0"/>
        <c:axPos val="b"/>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800" b="1" i="0" u="none" strike="noStrike" kern="1200" baseline="0">
                <a:solidFill>
                  <a:schemeClr val="tx1">
                    <a:lumMod val="95000"/>
                    <a:lumOff val="5000"/>
                  </a:schemeClr>
                </a:solidFill>
                <a:latin typeface="+mn-lt"/>
                <a:ea typeface="+mn-ea"/>
                <a:cs typeface="+mn-cs"/>
              </a:defRPr>
            </a:pPr>
            <a:endParaRPr lang="en-NG"/>
          </a:p>
        </c:txPr>
        <c:crossAx val="424143824"/>
        <c:crosses val="autoZero"/>
        <c:auto val="1"/>
        <c:lblAlgn val="ctr"/>
        <c:lblOffset val="100"/>
        <c:noMultiLvlLbl val="0"/>
      </c:catAx>
      <c:valAx>
        <c:axId val="424143824"/>
        <c:scaling>
          <c:orientation val="minMax"/>
        </c:scaling>
        <c:delete val="1"/>
        <c:axPos val="l"/>
        <c:numFmt formatCode="&quot;₦&quot;#,##0.00" sourceLinked="1"/>
        <c:majorTickMark val="none"/>
        <c:minorTickMark val="none"/>
        <c:tickLblPos val="nextTo"/>
        <c:crossAx val="8028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a:innerShdw blurRad="114300">
        <a:prstClr val="black"/>
      </a:inn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[FMCG-Sales-Analysis.xlsx.xlsx]PIVOT_TABLES!PivotTable1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Sum of Total_Revenue_NGN</c:v>
                </c:pt>
              </c:strCache>
            </c:strRef>
          </c:tx>
          <c:spPr>
            <a:solidFill>
              <a:schemeClr val="accent1"/>
            </a:solidFill>
            <a:ln>
              <a:noFill/>
            </a:ln>
            <a:effectLst/>
          </c:spPr>
          <c:invertIfNegative val="0"/>
          <c:cat>
            <c:strRef>
              <c:f>PIVOT_TABLES!$A$4:$A$9</c:f>
              <c:strCache>
                <c:ptCount val="5"/>
                <c:pt idx="0">
                  <c:v>Abuja Central</c:v>
                </c:pt>
                <c:pt idx="1">
                  <c:v>Ibadan Depot</c:v>
                </c:pt>
                <c:pt idx="2">
                  <c:v>Kano Retail</c:v>
                </c:pt>
                <c:pt idx="3">
                  <c:v>Lagos Main</c:v>
                </c:pt>
                <c:pt idx="4">
                  <c:v>Port Harcourt Hub</c:v>
                </c:pt>
              </c:strCache>
            </c:strRef>
          </c:cat>
          <c:val>
            <c:numRef>
              <c:f>PIVOT_TABLES!$B$4:$B$9</c:f>
              <c:numCache>
                <c:formatCode>"₦"#,##0.00</c:formatCode>
                <c:ptCount val="5"/>
                <c:pt idx="0">
                  <c:v>698960</c:v>
                </c:pt>
                <c:pt idx="1">
                  <c:v>576660</c:v>
                </c:pt>
                <c:pt idx="2">
                  <c:v>491360</c:v>
                </c:pt>
                <c:pt idx="3">
                  <c:v>472700</c:v>
                </c:pt>
                <c:pt idx="4">
                  <c:v>427520</c:v>
                </c:pt>
              </c:numCache>
            </c:numRef>
          </c:val>
          <c:extLst>
            <c:ext xmlns:c16="http://schemas.microsoft.com/office/drawing/2014/chart" uri="{C3380CC4-5D6E-409C-BE32-E72D297353CC}">
              <c16:uniqueId val="{00000000-40BB-4D2A-AFA6-0BC03248F885}"/>
            </c:ext>
          </c:extLst>
        </c:ser>
        <c:ser>
          <c:idx val="1"/>
          <c:order val="1"/>
          <c:tx>
            <c:strRef>
              <c:f>PIVOT_TABLES!$C$3</c:f>
              <c:strCache>
                <c:ptCount val="1"/>
                <c:pt idx="0">
                  <c:v>Sum of Profit_NGN</c:v>
                </c:pt>
              </c:strCache>
            </c:strRef>
          </c:tx>
          <c:spPr>
            <a:solidFill>
              <a:schemeClr val="accent2"/>
            </a:solidFill>
            <a:ln>
              <a:noFill/>
            </a:ln>
            <a:effectLst/>
          </c:spPr>
          <c:invertIfNegative val="0"/>
          <c:cat>
            <c:strRef>
              <c:f>PIVOT_TABLES!$A$4:$A$9</c:f>
              <c:strCache>
                <c:ptCount val="5"/>
                <c:pt idx="0">
                  <c:v>Abuja Central</c:v>
                </c:pt>
                <c:pt idx="1">
                  <c:v>Ibadan Depot</c:v>
                </c:pt>
                <c:pt idx="2">
                  <c:v>Kano Retail</c:v>
                </c:pt>
                <c:pt idx="3">
                  <c:v>Lagos Main</c:v>
                </c:pt>
                <c:pt idx="4">
                  <c:v>Port Harcourt Hub</c:v>
                </c:pt>
              </c:strCache>
            </c:strRef>
          </c:cat>
          <c:val>
            <c:numRef>
              <c:f>PIVOT_TABLES!$C$4:$C$9</c:f>
              <c:numCache>
                <c:formatCode>"₦"#,##0.00</c:formatCode>
                <c:ptCount val="5"/>
                <c:pt idx="0">
                  <c:v>176170</c:v>
                </c:pt>
                <c:pt idx="1">
                  <c:v>147370</c:v>
                </c:pt>
                <c:pt idx="2">
                  <c:v>125670</c:v>
                </c:pt>
                <c:pt idx="3">
                  <c:v>120050</c:v>
                </c:pt>
                <c:pt idx="4">
                  <c:v>109190</c:v>
                </c:pt>
              </c:numCache>
            </c:numRef>
          </c:val>
          <c:extLst>
            <c:ext xmlns:c16="http://schemas.microsoft.com/office/drawing/2014/chart" uri="{C3380CC4-5D6E-409C-BE32-E72D297353CC}">
              <c16:uniqueId val="{00000001-40BB-4D2A-AFA6-0BC03248F885}"/>
            </c:ext>
          </c:extLst>
        </c:ser>
        <c:dLbls>
          <c:showLegendKey val="0"/>
          <c:showVal val="0"/>
          <c:showCatName val="0"/>
          <c:showSerName val="0"/>
          <c:showPercent val="0"/>
          <c:showBubbleSize val="0"/>
        </c:dLbls>
        <c:gapWidth val="219"/>
        <c:overlap val="-27"/>
        <c:axId val="598654400"/>
        <c:axId val="490792784"/>
      </c:barChart>
      <c:catAx>
        <c:axId val="59865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90792784"/>
        <c:crosses val="autoZero"/>
        <c:auto val="1"/>
        <c:lblAlgn val="ctr"/>
        <c:lblOffset val="100"/>
        <c:noMultiLvlLbl val="0"/>
      </c:catAx>
      <c:valAx>
        <c:axId val="490792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865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[FMCG-Sales-Analysis.xlsx.xlsx]PIVOT_TABLES!PivotTable3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c:f>
              <c:strCache>
                <c:ptCount val="1"/>
                <c:pt idx="0">
                  <c:v>Sum of Total_Revenue_NGN</c:v>
                </c:pt>
              </c:strCache>
            </c:strRef>
          </c:tx>
          <c:spPr>
            <a:solidFill>
              <a:schemeClr val="accent1"/>
            </a:solidFill>
            <a:ln>
              <a:noFill/>
            </a:ln>
            <a:effectLst/>
          </c:spPr>
          <c:invertIfNegative val="0"/>
          <c:cat>
            <c:strRef>
              <c:f>PIVOT_TABLES!$A$12:$A$19</c:f>
              <c:strCache>
                <c:ptCount val="7"/>
                <c:pt idx="0">
                  <c:v>Beverages</c:v>
                </c:pt>
                <c:pt idx="1">
                  <c:v>Cooking Ingredients</c:v>
                </c:pt>
                <c:pt idx="2">
                  <c:v>Dairy</c:v>
                </c:pt>
                <c:pt idx="3">
                  <c:v>Grains</c:v>
                </c:pt>
                <c:pt idx="4">
                  <c:v>Household</c:v>
                </c:pt>
                <c:pt idx="5">
                  <c:v>Packaged Food</c:v>
                </c:pt>
                <c:pt idx="6">
                  <c:v>Personal Care</c:v>
                </c:pt>
              </c:strCache>
            </c:strRef>
          </c:cat>
          <c:val>
            <c:numRef>
              <c:f>PIVOT_TABLES!$B$12:$B$19</c:f>
              <c:numCache>
                <c:formatCode>"₦"#,##0.00</c:formatCode>
                <c:ptCount val="7"/>
                <c:pt idx="0">
                  <c:v>223450</c:v>
                </c:pt>
                <c:pt idx="1">
                  <c:v>389050</c:v>
                </c:pt>
                <c:pt idx="2">
                  <c:v>412800</c:v>
                </c:pt>
                <c:pt idx="3">
                  <c:v>1351500</c:v>
                </c:pt>
                <c:pt idx="4">
                  <c:v>190800</c:v>
                </c:pt>
                <c:pt idx="5">
                  <c:v>13500</c:v>
                </c:pt>
                <c:pt idx="6">
                  <c:v>86100</c:v>
                </c:pt>
              </c:numCache>
            </c:numRef>
          </c:val>
          <c:extLst>
            <c:ext xmlns:c16="http://schemas.microsoft.com/office/drawing/2014/chart" uri="{C3380CC4-5D6E-409C-BE32-E72D297353CC}">
              <c16:uniqueId val="{00000000-D0CA-46F6-AD95-23A758C5BB71}"/>
            </c:ext>
          </c:extLst>
        </c:ser>
        <c:ser>
          <c:idx val="1"/>
          <c:order val="1"/>
          <c:tx>
            <c:strRef>
              <c:f>PIVOT_TABLES!$C$11</c:f>
              <c:strCache>
                <c:ptCount val="1"/>
                <c:pt idx="0">
                  <c:v>Sum of Profit_NGN</c:v>
                </c:pt>
              </c:strCache>
            </c:strRef>
          </c:tx>
          <c:spPr>
            <a:solidFill>
              <a:schemeClr val="accent2"/>
            </a:solidFill>
            <a:ln>
              <a:noFill/>
            </a:ln>
            <a:effectLst/>
          </c:spPr>
          <c:invertIfNegative val="0"/>
          <c:cat>
            <c:strRef>
              <c:f>PIVOT_TABLES!$A$12:$A$19</c:f>
              <c:strCache>
                <c:ptCount val="7"/>
                <c:pt idx="0">
                  <c:v>Beverages</c:v>
                </c:pt>
                <c:pt idx="1">
                  <c:v>Cooking Ingredients</c:v>
                </c:pt>
                <c:pt idx="2">
                  <c:v>Dairy</c:v>
                </c:pt>
                <c:pt idx="3">
                  <c:v>Grains</c:v>
                </c:pt>
                <c:pt idx="4">
                  <c:v>Household</c:v>
                </c:pt>
                <c:pt idx="5">
                  <c:v>Packaged Food</c:v>
                </c:pt>
                <c:pt idx="6">
                  <c:v>Personal Care</c:v>
                </c:pt>
              </c:strCache>
            </c:strRef>
          </c:cat>
          <c:val>
            <c:numRef>
              <c:f>PIVOT_TABLES!$C$12:$C$19</c:f>
              <c:numCache>
                <c:formatCode>"₦"#,##0.00</c:formatCode>
                <c:ptCount val="7"/>
                <c:pt idx="0">
                  <c:v>69450</c:v>
                </c:pt>
                <c:pt idx="1">
                  <c:v>100050</c:v>
                </c:pt>
                <c:pt idx="2">
                  <c:v>103200</c:v>
                </c:pt>
                <c:pt idx="3">
                  <c:v>318000</c:v>
                </c:pt>
                <c:pt idx="4">
                  <c:v>55650</c:v>
                </c:pt>
                <c:pt idx="5">
                  <c:v>4500</c:v>
                </c:pt>
                <c:pt idx="6">
                  <c:v>27600</c:v>
                </c:pt>
              </c:numCache>
            </c:numRef>
          </c:val>
          <c:extLst>
            <c:ext xmlns:c16="http://schemas.microsoft.com/office/drawing/2014/chart" uri="{C3380CC4-5D6E-409C-BE32-E72D297353CC}">
              <c16:uniqueId val="{00000001-D0CA-46F6-AD95-23A758C5BB71}"/>
            </c:ext>
          </c:extLst>
        </c:ser>
        <c:dLbls>
          <c:showLegendKey val="0"/>
          <c:showVal val="0"/>
          <c:showCatName val="0"/>
          <c:showSerName val="0"/>
          <c:showPercent val="0"/>
          <c:showBubbleSize val="0"/>
        </c:dLbls>
        <c:gapWidth val="219"/>
        <c:overlap val="-27"/>
        <c:axId val="598487712"/>
        <c:axId val="487260208"/>
      </c:barChart>
      <c:catAx>
        <c:axId val="59848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7260208"/>
        <c:crosses val="autoZero"/>
        <c:auto val="1"/>
        <c:lblAlgn val="ctr"/>
        <c:lblOffset val="100"/>
        <c:noMultiLvlLbl val="0"/>
      </c:catAx>
      <c:valAx>
        <c:axId val="487260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848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[FMCG-Sales-Analysis.xlsx.xlsx]PIVOT_TABLES!PivotTable4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PIVOT_TABLES!$B$21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A6-41F8-8380-2366BB1514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A6-41F8-8380-2366BB1514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A6-41F8-8380-2366BB1514A2}"/>
              </c:ext>
            </c:extLst>
          </c:dPt>
          <c:cat>
            <c:strRef>
              <c:f>PIVOT_TABLES!$A$22:$A$25</c:f>
              <c:strCache>
                <c:ptCount val="3"/>
                <c:pt idx="0">
                  <c:v>Corporate</c:v>
                </c:pt>
                <c:pt idx="1">
                  <c:v>Retail</c:v>
                </c:pt>
                <c:pt idx="2">
                  <c:v>Wholesale</c:v>
                </c:pt>
              </c:strCache>
            </c:strRef>
          </c:cat>
          <c:val>
            <c:numRef>
              <c:f>PIVOT_TABLES!$B$22:$B$25</c:f>
              <c:numCache>
                <c:formatCode>"₦"#,##0.00</c:formatCode>
                <c:ptCount val="3"/>
                <c:pt idx="0">
                  <c:v>628100</c:v>
                </c:pt>
                <c:pt idx="1">
                  <c:v>1129580</c:v>
                </c:pt>
                <c:pt idx="2">
                  <c:v>909520</c:v>
                </c:pt>
              </c:numCache>
            </c:numRef>
          </c:val>
          <c:extLst>
            <c:ext xmlns:c16="http://schemas.microsoft.com/office/drawing/2014/chart" uri="{C3380CC4-5D6E-409C-BE32-E72D297353CC}">
              <c16:uniqueId val="{00000000-35D8-46CB-A216-5A3E2FEF928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[FMCG-Sales-Analysis.xlsx.xlsx]PIVOT_TABLES!PivotTable5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PIVOT_TABLES!$B$27</c:f>
              <c:strCache>
                <c:ptCount val="1"/>
                <c:pt idx="0">
                  <c:v>Total</c:v>
                </c:pt>
              </c:strCache>
            </c:strRef>
          </c:tx>
          <c:spPr>
            <a:solidFill>
              <a:schemeClr val="accent1"/>
            </a:solidFill>
            <a:ln>
              <a:noFill/>
            </a:ln>
            <a:effectLst/>
          </c:spPr>
          <c:invertIfNegative val="0"/>
          <c:cat>
            <c:strRef>
              <c:f>PIVOT_TABLES!$A$28:$A$34</c:f>
              <c:strCache>
                <c:ptCount val="6"/>
                <c:pt idx="0">
                  <c:v>January</c:v>
                </c:pt>
                <c:pt idx="1">
                  <c:v>February</c:v>
                </c:pt>
                <c:pt idx="2">
                  <c:v>March</c:v>
                </c:pt>
                <c:pt idx="3">
                  <c:v>April</c:v>
                </c:pt>
                <c:pt idx="4">
                  <c:v>May</c:v>
                </c:pt>
                <c:pt idx="5">
                  <c:v>June</c:v>
                </c:pt>
              </c:strCache>
            </c:strRef>
          </c:cat>
          <c:val>
            <c:numRef>
              <c:f>PIVOT_TABLES!$B$28:$B$34</c:f>
              <c:numCache>
                <c:formatCode>"₦"#,##0.00</c:formatCode>
                <c:ptCount val="6"/>
                <c:pt idx="0">
                  <c:v>441140</c:v>
                </c:pt>
                <c:pt idx="1">
                  <c:v>569950</c:v>
                </c:pt>
                <c:pt idx="2">
                  <c:v>411850</c:v>
                </c:pt>
                <c:pt idx="3">
                  <c:v>399110</c:v>
                </c:pt>
                <c:pt idx="4">
                  <c:v>368800</c:v>
                </c:pt>
                <c:pt idx="5">
                  <c:v>476350</c:v>
                </c:pt>
              </c:numCache>
            </c:numRef>
          </c:val>
          <c:extLst>
            <c:ext xmlns:c16="http://schemas.microsoft.com/office/drawing/2014/chart" uri="{C3380CC4-5D6E-409C-BE32-E72D297353CC}">
              <c16:uniqueId val="{00000000-8A41-4C68-B876-BAECF2DD50CF}"/>
            </c:ext>
          </c:extLst>
        </c:ser>
        <c:dLbls>
          <c:showLegendKey val="0"/>
          <c:showVal val="0"/>
          <c:showCatName val="0"/>
          <c:showSerName val="0"/>
          <c:showPercent val="0"/>
          <c:showBubbleSize val="0"/>
        </c:dLbls>
        <c:gapWidth val="219"/>
        <c:overlap val="-27"/>
        <c:axId val="598665536"/>
        <c:axId val="487242448"/>
      </c:barChart>
      <c:catAx>
        <c:axId val="59866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7242448"/>
        <c:crosses val="autoZero"/>
        <c:auto val="1"/>
        <c:lblAlgn val="ctr"/>
        <c:lblOffset val="100"/>
        <c:noMultiLvlLbl val="0"/>
      </c:catAx>
      <c:valAx>
        <c:axId val="487242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866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[FMCG-Sales-Analysis.xlsx.xlsx]PIVOT_TABLES!PivotTable6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PIVOT_TABLES!$B$36</c:f>
              <c:strCache>
                <c:ptCount val="1"/>
                <c:pt idx="0">
                  <c:v>Total</c:v>
                </c:pt>
              </c:strCache>
            </c:strRef>
          </c:tx>
          <c:spPr>
            <a:solidFill>
              <a:schemeClr val="accent1"/>
            </a:solidFill>
            <a:ln>
              <a:noFill/>
            </a:ln>
            <a:effectLst/>
          </c:spPr>
          <c:invertIfNegative val="0"/>
          <c:cat>
            <c:strRef>
              <c:f>PIVOT_TABLES!$A$37:$A$47</c:f>
              <c:strCache>
                <c:ptCount val="10"/>
                <c:pt idx="0">
                  <c:v>Basmati Rice 5kg</c:v>
                </c:pt>
                <c:pt idx="1">
                  <c:v>Whole Milk Powder 400g</c:v>
                </c:pt>
                <c:pt idx="2">
                  <c:v>Vegetable Oil 1L</c:v>
                </c:pt>
                <c:pt idx="3">
                  <c:v>Laundry Detergent 1kg</c:v>
                </c:pt>
                <c:pt idx="4">
                  <c:v>Fruit Juice 1L</c:v>
                </c:pt>
                <c:pt idx="5">
                  <c:v>Tomato Paste 400g</c:v>
                </c:pt>
                <c:pt idx="6">
                  <c:v>Malt Beverage 33cl</c:v>
                </c:pt>
                <c:pt idx="7">
                  <c:v>Toilet Soap 120g</c:v>
                </c:pt>
                <c:pt idx="8">
                  <c:v>Toothpaste 140g</c:v>
                </c:pt>
                <c:pt idx="9">
                  <c:v>Instant Noodles 70g</c:v>
                </c:pt>
              </c:strCache>
            </c:strRef>
          </c:cat>
          <c:val>
            <c:numRef>
              <c:f>PIVOT_TABLES!$B$37:$B$47</c:f>
              <c:numCache>
                <c:formatCode>"₦"#,##0.00</c:formatCode>
                <c:ptCount val="10"/>
                <c:pt idx="0">
                  <c:v>1351500</c:v>
                </c:pt>
                <c:pt idx="1">
                  <c:v>412800</c:v>
                </c:pt>
                <c:pt idx="2">
                  <c:v>272600</c:v>
                </c:pt>
                <c:pt idx="3">
                  <c:v>190800</c:v>
                </c:pt>
                <c:pt idx="4">
                  <c:v>172700</c:v>
                </c:pt>
                <c:pt idx="5">
                  <c:v>116450</c:v>
                </c:pt>
                <c:pt idx="6">
                  <c:v>50750</c:v>
                </c:pt>
                <c:pt idx="7">
                  <c:v>43200</c:v>
                </c:pt>
                <c:pt idx="8">
                  <c:v>42900</c:v>
                </c:pt>
                <c:pt idx="9">
                  <c:v>13500</c:v>
                </c:pt>
              </c:numCache>
            </c:numRef>
          </c:val>
          <c:extLst>
            <c:ext xmlns:c16="http://schemas.microsoft.com/office/drawing/2014/chart" uri="{C3380CC4-5D6E-409C-BE32-E72D297353CC}">
              <c16:uniqueId val="{00000000-48D1-4CF6-BFE8-34D0D81FBC7C}"/>
            </c:ext>
          </c:extLst>
        </c:ser>
        <c:dLbls>
          <c:showLegendKey val="0"/>
          <c:showVal val="0"/>
          <c:showCatName val="0"/>
          <c:showSerName val="0"/>
          <c:showPercent val="0"/>
          <c:showBubbleSize val="0"/>
        </c:dLbls>
        <c:gapWidth val="219"/>
        <c:overlap val="-27"/>
        <c:axId val="80286784"/>
        <c:axId val="424143824"/>
      </c:barChart>
      <c:catAx>
        <c:axId val="8028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24143824"/>
        <c:crosses val="autoZero"/>
        <c:auto val="1"/>
        <c:lblAlgn val="ctr"/>
        <c:lblOffset val="100"/>
        <c:noMultiLvlLbl val="0"/>
      </c:catAx>
      <c:valAx>
        <c:axId val="4241438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28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0</xdr:rowOff>
    </xdr:from>
    <xdr:to>
      <xdr:col>19</xdr:col>
      <xdr:colOff>393700</xdr:colOff>
      <xdr:row>22</xdr:row>
      <xdr:rowOff>120650</xdr:rowOff>
    </xdr:to>
    <xdr:sp macro="" textlink="">
      <xdr:nvSpPr>
        <xdr:cNvPr id="2" name="Rectangle 1">
          <a:extLst>
            <a:ext uri="{FF2B5EF4-FFF2-40B4-BE49-F238E27FC236}">
              <a16:creationId xmlns:a16="http://schemas.microsoft.com/office/drawing/2014/main" id="{5167DD86-25C4-3418-8329-40E56B6B0A7A}"/>
            </a:ext>
          </a:extLst>
        </xdr:cNvPr>
        <xdr:cNvSpPr/>
      </xdr:nvSpPr>
      <xdr:spPr>
        <a:xfrm>
          <a:off x="38100" y="0"/>
          <a:ext cx="11938000" cy="4171950"/>
        </a:xfrm>
        <a:prstGeom prst="rect">
          <a:avLst/>
        </a:prstGeom>
        <a:gradFill flip="none" rotWithShape="1">
          <a:gsLst>
            <a:gs pos="0">
              <a:schemeClr val="accent3">
                <a:lumMod val="20000"/>
                <a:lumOff val="80000"/>
                <a:shade val="30000"/>
                <a:satMod val="115000"/>
              </a:schemeClr>
            </a:gs>
            <a:gs pos="50000">
              <a:schemeClr val="accent3">
                <a:lumMod val="20000"/>
                <a:lumOff val="80000"/>
                <a:shade val="67500"/>
                <a:satMod val="115000"/>
              </a:schemeClr>
            </a:gs>
            <a:gs pos="100000">
              <a:schemeClr val="accent3">
                <a:lumMod val="20000"/>
                <a:lumOff val="80000"/>
                <a:shade val="100000"/>
                <a:satMod val="115000"/>
              </a:schemeClr>
            </a:gs>
          </a:gsLst>
          <a:lin ang="18900000" scaled="1"/>
          <a:tileRect/>
        </a:gradFill>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976</xdr:colOff>
      <xdr:row>0</xdr:row>
      <xdr:rowOff>38100</xdr:rowOff>
    </xdr:from>
    <xdr:to>
      <xdr:col>7</xdr:col>
      <xdr:colOff>153376</xdr:colOff>
      <xdr:row>2</xdr:row>
      <xdr:rowOff>88900</xdr:rowOff>
    </xdr:to>
    <xdr:sp macro="" textlink="">
      <xdr:nvSpPr>
        <xdr:cNvPr id="7" name="Rectangle: Rounded Corners 6">
          <a:extLst>
            <a:ext uri="{FF2B5EF4-FFF2-40B4-BE49-F238E27FC236}">
              <a16:creationId xmlns:a16="http://schemas.microsoft.com/office/drawing/2014/main" id="{7626A47B-861B-C2FC-B36E-C83472040522}"/>
            </a:ext>
          </a:extLst>
        </xdr:cNvPr>
        <xdr:cNvSpPr/>
      </xdr:nvSpPr>
      <xdr:spPr>
        <a:xfrm>
          <a:off x="976" y="38100"/>
          <a:ext cx="4426438" cy="417146"/>
        </a:xfrm>
        <a:prstGeom prst="roundRect">
          <a:avLst>
            <a:gd name="adj" fmla="val 30591"/>
          </a:avLst>
        </a:prstGeom>
        <a:solidFill>
          <a:srgbClr val="284612"/>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chemeClr val="accent3">
                  <a:lumMod val="20000"/>
                  <a:lumOff val="80000"/>
                </a:schemeClr>
              </a:solidFill>
              <a:latin typeface="Engravers MT" panose="02090707080505020304" pitchFamily="18" charset="0"/>
            </a:rPr>
            <a:t>FMCG Performance Review</a:t>
          </a:r>
          <a:r>
            <a:rPr lang="en-US" sz="1300" b="1" baseline="0">
              <a:solidFill>
                <a:schemeClr val="accent3">
                  <a:lumMod val="20000"/>
                  <a:lumOff val="80000"/>
                </a:schemeClr>
              </a:solidFill>
              <a:latin typeface="Engravers MT" panose="02090707080505020304" pitchFamily="18" charset="0"/>
            </a:rPr>
            <a:t> H1 2026</a:t>
          </a:r>
          <a:endParaRPr lang="en-NG" sz="1300" b="1">
            <a:solidFill>
              <a:schemeClr val="accent3">
                <a:lumMod val="20000"/>
                <a:lumOff val="80000"/>
              </a:schemeClr>
            </a:solidFill>
            <a:latin typeface="Engravers MT" panose="02090707080505020304" pitchFamily="18" charset="0"/>
          </a:endParaRPr>
        </a:p>
      </xdr:txBody>
    </xdr:sp>
    <xdr:clientData/>
  </xdr:twoCellAnchor>
  <xdr:twoCellAnchor>
    <xdr:from>
      <xdr:col>7</xdr:col>
      <xdr:colOff>184150</xdr:colOff>
      <xdr:row>0</xdr:row>
      <xdr:rowOff>19050</xdr:rowOff>
    </xdr:from>
    <xdr:to>
      <xdr:col>9</xdr:col>
      <xdr:colOff>196850</xdr:colOff>
      <xdr:row>2</xdr:row>
      <xdr:rowOff>88900</xdr:rowOff>
    </xdr:to>
    <xdr:sp macro="" textlink="">
      <xdr:nvSpPr>
        <xdr:cNvPr id="8" name="Rectangle: Rounded Corners 7">
          <a:extLst>
            <a:ext uri="{FF2B5EF4-FFF2-40B4-BE49-F238E27FC236}">
              <a16:creationId xmlns:a16="http://schemas.microsoft.com/office/drawing/2014/main" id="{11756730-97EB-4CAB-B725-09E38E1512A2}"/>
            </a:ext>
          </a:extLst>
        </xdr:cNvPr>
        <xdr:cNvSpPr/>
      </xdr:nvSpPr>
      <xdr:spPr>
        <a:xfrm>
          <a:off x="4451350" y="19050"/>
          <a:ext cx="1231900" cy="438150"/>
        </a:xfrm>
        <a:prstGeom prst="roundRect">
          <a:avLst>
            <a:gd name="adj" fmla="val 30591"/>
          </a:avLst>
        </a:prstGeom>
        <a:solidFill>
          <a:srgbClr val="284612"/>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i="0" u="none" strike="noStrike">
              <a:solidFill>
                <a:schemeClr val="accent3">
                  <a:lumMod val="20000"/>
                  <a:lumOff val="80000"/>
                </a:schemeClr>
              </a:solidFill>
              <a:effectLst/>
              <a:latin typeface="Engravers MT" panose="02090707080505020304" pitchFamily="18" charset="0"/>
              <a:ea typeface="+mn-ea"/>
              <a:cs typeface="+mn-cs"/>
            </a:rPr>
            <a:t>2,667,200</a:t>
          </a:r>
          <a:r>
            <a:rPr lang="en-US" sz="1100" b="1" i="0" u="none" strike="noStrike">
              <a:solidFill>
                <a:schemeClr val="accent3">
                  <a:lumMod val="20000"/>
                  <a:lumOff val="80000"/>
                </a:schemeClr>
              </a:solidFill>
              <a:effectLst/>
              <a:latin typeface="Engravers MT" panose="02090707080505020304" pitchFamily="18" charset="0"/>
              <a:ea typeface="+mn-ea"/>
              <a:cs typeface="+mn-cs"/>
            </a:rPr>
            <a:t> </a:t>
          </a:r>
          <a:r>
            <a:rPr lang="en-US" sz="650" b="1" i="0" u="none" strike="noStrike">
              <a:solidFill>
                <a:schemeClr val="accent3">
                  <a:lumMod val="20000"/>
                  <a:lumOff val="80000"/>
                </a:schemeClr>
              </a:solidFill>
              <a:effectLst/>
              <a:latin typeface="Engravers MT" panose="02090707080505020304" pitchFamily="18" charset="0"/>
              <a:ea typeface="+mn-ea"/>
              <a:cs typeface="+mn-cs"/>
            </a:rPr>
            <a:t>Total</a:t>
          </a:r>
          <a:r>
            <a:rPr lang="en-US" sz="650" b="1" i="0" u="none" strike="noStrike" baseline="0">
              <a:solidFill>
                <a:schemeClr val="accent3">
                  <a:lumMod val="20000"/>
                  <a:lumOff val="80000"/>
                </a:schemeClr>
              </a:solidFill>
              <a:effectLst/>
              <a:latin typeface="Engravers MT" panose="02090707080505020304" pitchFamily="18" charset="0"/>
              <a:ea typeface="+mn-ea"/>
              <a:cs typeface="+mn-cs"/>
            </a:rPr>
            <a:t> Revenue</a:t>
          </a:r>
          <a:endParaRPr lang="en-NG" sz="650" b="1">
            <a:solidFill>
              <a:schemeClr val="accent3">
                <a:lumMod val="20000"/>
                <a:lumOff val="80000"/>
              </a:schemeClr>
            </a:solidFill>
            <a:latin typeface="Engravers MT" panose="02090707080505020304" pitchFamily="18" charset="0"/>
          </a:endParaRPr>
        </a:p>
      </xdr:txBody>
    </xdr:sp>
    <xdr:clientData/>
  </xdr:twoCellAnchor>
  <xdr:twoCellAnchor>
    <xdr:from>
      <xdr:col>9</xdr:col>
      <xdr:colOff>190500</xdr:colOff>
      <xdr:row>0</xdr:row>
      <xdr:rowOff>6350</xdr:rowOff>
    </xdr:from>
    <xdr:to>
      <xdr:col>11</xdr:col>
      <xdr:colOff>203200</xdr:colOff>
      <xdr:row>2</xdr:row>
      <xdr:rowOff>82550</xdr:rowOff>
    </xdr:to>
    <xdr:sp macro="" textlink="">
      <xdr:nvSpPr>
        <xdr:cNvPr id="13" name="Rectangle: Rounded Corners 12">
          <a:extLst>
            <a:ext uri="{FF2B5EF4-FFF2-40B4-BE49-F238E27FC236}">
              <a16:creationId xmlns:a16="http://schemas.microsoft.com/office/drawing/2014/main" id="{AF3450F8-AE71-477A-A11E-247E66F7C0BC}"/>
            </a:ext>
          </a:extLst>
        </xdr:cNvPr>
        <xdr:cNvSpPr/>
      </xdr:nvSpPr>
      <xdr:spPr>
        <a:xfrm>
          <a:off x="5676900" y="6350"/>
          <a:ext cx="1231900" cy="444500"/>
        </a:xfrm>
        <a:prstGeom prst="roundRect">
          <a:avLst>
            <a:gd name="adj" fmla="val 30591"/>
          </a:avLst>
        </a:prstGeom>
        <a:solidFill>
          <a:srgbClr val="284612"/>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sz="1100" b="1" i="0" u="none" strike="noStrike">
              <a:solidFill>
                <a:schemeClr val="accent3">
                  <a:lumMod val="20000"/>
                  <a:lumOff val="80000"/>
                </a:schemeClr>
              </a:solidFill>
              <a:effectLst/>
              <a:latin typeface="Engravers MT" panose="02090707080505020304" pitchFamily="18" charset="0"/>
              <a:ea typeface="+mn-ea"/>
              <a:cs typeface="+mn-cs"/>
            </a:rPr>
            <a:t>678,450</a:t>
          </a:r>
          <a:r>
            <a:rPr lang="en-US" sz="1100" b="1" i="0" u="none" strike="noStrike">
              <a:solidFill>
                <a:schemeClr val="accent3">
                  <a:lumMod val="20000"/>
                  <a:lumOff val="80000"/>
                </a:schemeClr>
              </a:solidFill>
              <a:effectLst/>
              <a:latin typeface="Engravers MT" panose="02090707080505020304" pitchFamily="18" charset="0"/>
              <a:ea typeface="+mn-ea"/>
              <a:cs typeface="+mn-cs"/>
            </a:rPr>
            <a:t> </a:t>
          </a:r>
          <a:r>
            <a:rPr lang="en-US" sz="650" b="1" i="0" u="none" strike="noStrike">
              <a:solidFill>
                <a:schemeClr val="accent3">
                  <a:lumMod val="20000"/>
                  <a:lumOff val="80000"/>
                </a:schemeClr>
              </a:solidFill>
              <a:effectLst/>
              <a:latin typeface="Engravers MT" panose="02090707080505020304" pitchFamily="18" charset="0"/>
              <a:ea typeface="+mn-ea"/>
              <a:cs typeface="+mn-cs"/>
            </a:rPr>
            <a:t>Total</a:t>
          </a:r>
          <a:r>
            <a:rPr lang="en-US" sz="650" b="1" i="0" u="none" strike="noStrike" baseline="0">
              <a:solidFill>
                <a:schemeClr val="accent3">
                  <a:lumMod val="20000"/>
                  <a:lumOff val="80000"/>
                </a:schemeClr>
              </a:solidFill>
              <a:effectLst/>
              <a:latin typeface="Engravers MT" panose="02090707080505020304" pitchFamily="18" charset="0"/>
              <a:ea typeface="+mn-ea"/>
              <a:cs typeface="+mn-cs"/>
            </a:rPr>
            <a:t> PROFIT</a:t>
          </a:r>
          <a:endParaRPr lang="en-NG" sz="650" b="1">
            <a:solidFill>
              <a:schemeClr val="accent3">
                <a:lumMod val="20000"/>
                <a:lumOff val="80000"/>
              </a:schemeClr>
            </a:solidFill>
            <a:latin typeface="Engravers MT" panose="02090707080505020304" pitchFamily="18" charset="0"/>
          </a:endParaRPr>
        </a:p>
      </xdr:txBody>
    </xdr:sp>
    <xdr:clientData/>
  </xdr:twoCellAnchor>
  <xdr:twoCellAnchor>
    <xdr:from>
      <xdr:col>11</xdr:col>
      <xdr:colOff>203200</xdr:colOff>
      <xdr:row>0</xdr:row>
      <xdr:rowOff>19050</xdr:rowOff>
    </xdr:from>
    <xdr:to>
      <xdr:col>13</xdr:col>
      <xdr:colOff>209550</xdr:colOff>
      <xdr:row>2</xdr:row>
      <xdr:rowOff>82550</xdr:rowOff>
    </xdr:to>
    <xdr:sp macro="" textlink="">
      <xdr:nvSpPr>
        <xdr:cNvPr id="14" name="Rectangle: Rounded Corners 13">
          <a:extLst>
            <a:ext uri="{FF2B5EF4-FFF2-40B4-BE49-F238E27FC236}">
              <a16:creationId xmlns:a16="http://schemas.microsoft.com/office/drawing/2014/main" id="{47F54098-9782-4CD5-9E4D-7E09CEBA47C8}"/>
            </a:ext>
          </a:extLst>
        </xdr:cNvPr>
        <xdr:cNvSpPr/>
      </xdr:nvSpPr>
      <xdr:spPr>
        <a:xfrm>
          <a:off x="6908800" y="19050"/>
          <a:ext cx="1225550" cy="431800"/>
        </a:xfrm>
        <a:prstGeom prst="roundRect">
          <a:avLst>
            <a:gd name="adj" fmla="val 30591"/>
          </a:avLst>
        </a:prstGeom>
        <a:solidFill>
          <a:srgbClr val="284612"/>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baseline="0">
              <a:solidFill>
                <a:schemeClr val="accent3">
                  <a:lumMod val="20000"/>
                  <a:lumOff val="80000"/>
                </a:schemeClr>
              </a:solidFill>
              <a:effectLst/>
              <a:latin typeface="Engravers MT" panose="02090707080505020304" pitchFamily="18" charset="0"/>
              <a:ea typeface="+mn-ea"/>
              <a:cs typeface="+mn-cs"/>
            </a:rPr>
            <a:t>1260</a:t>
          </a:r>
        </a:p>
        <a:p>
          <a:pPr algn="ctr"/>
          <a:r>
            <a:rPr lang="en-US" sz="600" b="1" i="0" u="none" strike="noStrike" baseline="0">
              <a:solidFill>
                <a:schemeClr val="accent3">
                  <a:lumMod val="20000"/>
                  <a:lumOff val="80000"/>
                </a:schemeClr>
              </a:solidFill>
              <a:effectLst/>
              <a:latin typeface="Engravers MT" panose="02090707080505020304" pitchFamily="18" charset="0"/>
              <a:ea typeface="+mn-ea"/>
              <a:cs typeface="+mn-cs"/>
            </a:rPr>
            <a:t>total unit sold </a:t>
          </a:r>
          <a:endParaRPr lang="en-NG" sz="600" b="1">
            <a:solidFill>
              <a:schemeClr val="accent3">
                <a:lumMod val="20000"/>
                <a:lumOff val="80000"/>
              </a:schemeClr>
            </a:solidFill>
            <a:latin typeface="Engravers MT" panose="02090707080505020304" pitchFamily="18" charset="0"/>
          </a:endParaRPr>
        </a:p>
      </xdr:txBody>
    </xdr:sp>
    <xdr:clientData/>
  </xdr:twoCellAnchor>
  <xdr:twoCellAnchor editAs="oneCell">
    <xdr:from>
      <xdr:col>13</xdr:col>
      <xdr:colOff>215900</xdr:colOff>
      <xdr:row>0</xdr:row>
      <xdr:rowOff>1</xdr:rowOff>
    </xdr:from>
    <xdr:to>
      <xdr:col>16</xdr:col>
      <xdr:colOff>444500</xdr:colOff>
      <xdr:row>6</xdr:row>
      <xdr:rowOff>57150</xdr:rowOff>
    </xdr:to>
    <mc:AlternateContent xmlns:mc="http://schemas.openxmlformats.org/markup-compatibility/2006" xmlns:a14="http://schemas.microsoft.com/office/drawing/2010/main">
      <mc:Choice Requires="a14">
        <xdr:graphicFrame macro="">
          <xdr:nvGraphicFramePr>
            <xdr:cNvPr id="16" name="Store_Branch 1">
              <a:extLst>
                <a:ext uri="{FF2B5EF4-FFF2-40B4-BE49-F238E27FC236}">
                  <a16:creationId xmlns:a16="http://schemas.microsoft.com/office/drawing/2014/main" id="{5DE34A39-97A9-41F5-87F8-1459AC33CD6E}"/>
                </a:ext>
              </a:extLst>
            </xdr:cNvPr>
            <xdr:cNvGraphicFramePr/>
          </xdr:nvGraphicFramePr>
          <xdr:xfrm>
            <a:off x="0" y="0"/>
            <a:ext cx="0" cy="0"/>
          </xdr:xfrm>
          <a:graphic>
            <a:graphicData uri="http://schemas.microsoft.com/office/drawing/2010/slicer">
              <sle:slicer xmlns:sle="http://schemas.microsoft.com/office/drawing/2010/slicer" name="Store_Branch 1"/>
            </a:graphicData>
          </a:graphic>
        </xdr:graphicFrame>
      </mc:Choice>
      <mc:Fallback xmlns="">
        <xdr:sp macro="" textlink="">
          <xdr:nvSpPr>
            <xdr:cNvPr id="0" name=""/>
            <xdr:cNvSpPr>
              <a:spLocks noTextEdit="1"/>
            </xdr:cNvSpPr>
          </xdr:nvSpPr>
          <xdr:spPr>
            <a:xfrm>
              <a:off x="8140700" y="1"/>
              <a:ext cx="2057400" cy="11620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463550</xdr:colOff>
      <xdr:row>0</xdr:row>
      <xdr:rowOff>25401</xdr:rowOff>
    </xdr:from>
    <xdr:to>
      <xdr:col>19</xdr:col>
      <xdr:colOff>317500</xdr:colOff>
      <xdr:row>6</xdr:row>
      <xdr:rowOff>63500</xdr:rowOff>
    </xdr:to>
    <mc:AlternateContent xmlns:mc="http://schemas.openxmlformats.org/markup-compatibility/2006" xmlns:a14="http://schemas.microsoft.com/office/drawing/2010/main">
      <mc:Choice Requires="a14">
        <xdr:graphicFrame macro="">
          <xdr:nvGraphicFramePr>
            <xdr:cNvPr id="17" name="Customer_Segment 1">
              <a:extLst>
                <a:ext uri="{FF2B5EF4-FFF2-40B4-BE49-F238E27FC236}">
                  <a16:creationId xmlns:a16="http://schemas.microsoft.com/office/drawing/2014/main" id="{4C3728D3-2BB3-4586-A588-C4AF9574EA32}"/>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0217150" y="25401"/>
              <a:ext cx="1682750" cy="11429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2</xdr:row>
      <xdr:rowOff>88900</xdr:rowOff>
    </xdr:from>
    <xdr:to>
      <xdr:col>7</xdr:col>
      <xdr:colOff>120650</xdr:colOff>
      <xdr:row>12</xdr:row>
      <xdr:rowOff>76200</xdr:rowOff>
    </xdr:to>
    <xdr:graphicFrame macro="">
      <xdr:nvGraphicFramePr>
        <xdr:cNvPr id="3" name="Chart 2">
          <a:extLst>
            <a:ext uri="{FF2B5EF4-FFF2-40B4-BE49-F238E27FC236}">
              <a16:creationId xmlns:a16="http://schemas.microsoft.com/office/drawing/2014/main" id="{90883E7D-7461-4DD9-9F84-6783CCE7A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133350</xdr:colOff>
      <xdr:row>2</xdr:row>
      <xdr:rowOff>88900</xdr:rowOff>
    </xdr:from>
    <xdr:to>
      <xdr:col>13</xdr:col>
      <xdr:colOff>171450</xdr:colOff>
      <xdr:row>12</xdr:row>
      <xdr:rowOff>76200</xdr:rowOff>
    </xdr:to>
    <xdr:graphicFrame macro="">
      <xdr:nvGraphicFramePr>
        <xdr:cNvPr id="4" name="Chart 3">
          <a:extLst>
            <a:ext uri="{FF2B5EF4-FFF2-40B4-BE49-F238E27FC236}">
              <a16:creationId xmlns:a16="http://schemas.microsoft.com/office/drawing/2014/main" id="{61227623-CBC5-440F-B528-1DF82C328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19051</xdr:colOff>
      <xdr:row>12</xdr:row>
      <xdr:rowOff>114300</xdr:rowOff>
    </xdr:from>
    <xdr:to>
      <xdr:col>4</xdr:col>
      <xdr:colOff>133350</xdr:colOff>
      <xdr:row>22</xdr:row>
      <xdr:rowOff>59490</xdr:rowOff>
    </xdr:to>
    <xdr:graphicFrame macro="">
      <xdr:nvGraphicFramePr>
        <xdr:cNvPr id="5" name="Chart 4">
          <a:extLst>
            <a:ext uri="{FF2B5EF4-FFF2-40B4-BE49-F238E27FC236}">
              <a16:creationId xmlns:a16="http://schemas.microsoft.com/office/drawing/2014/main" id="{290EBFFE-A963-4A30-B1C9-8E16763A7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158750</xdr:colOff>
      <xdr:row>12</xdr:row>
      <xdr:rowOff>114300</xdr:rowOff>
    </xdr:from>
    <xdr:to>
      <xdr:col>8</xdr:col>
      <xdr:colOff>38100</xdr:colOff>
      <xdr:row>22</xdr:row>
      <xdr:rowOff>57150</xdr:rowOff>
    </xdr:to>
    <xdr:graphicFrame macro="">
      <xdr:nvGraphicFramePr>
        <xdr:cNvPr id="6" name="Chart 5">
          <a:extLst>
            <a:ext uri="{FF2B5EF4-FFF2-40B4-BE49-F238E27FC236}">
              <a16:creationId xmlns:a16="http://schemas.microsoft.com/office/drawing/2014/main" id="{7790FAC9-481E-4FD4-BDBD-F26A3487B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69850</xdr:colOff>
      <xdr:row>12</xdr:row>
      <xdr:rowOff>107951</xdr:rowOff>
    </xdr:from>
    <xdr:to>
      <xdr:col>13</xdr:col>
      <xdr:colOff>177800</xdr:colOff>
      <xdr:row>22</xdr:row>
      <xdr:rowOff>44451</xdr:rowOff>
    </xdr:to>
    <xdr:graphicFrame macro="">
      <xdr:nvGraphicFramePr>
        <xdr:cNvPr id="10" name="Chart 9">
          <a:extLst>
            <a:ext uri="{FF2B5EF4-FFF2-40B4-BE49-F238E27FC236}">
              <a16:creationId xmlns:a16="http://schemas.microsoft.com/office/drawing/2014/main" id="{CBDBB588-5E0E-4312-954A-C5E36EB9C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209550</xdr:colOff>
      <xdr:row>6</xdr:row>
      <xdr:rowOff>95250</xdr:rowOff>
    </xdr:from>
    <xdr:to>
      <xdr:col>19</xdr:col>
      <xdr:colOff>330200</xdr:colOff>
      <xdr:row>22</xdr:row>
      <xdr:rowOff>25400</xdr:rowOff>
    </xdr:to>
    <xdr:sp macro="" textlink="">
      <xdr:nvSpPr>
        <xdr:cNvPr id="15" name="Rectangle: Rounded Corners 14">
          <a:extLst>
            <a:ext uri="{FF2B5EF4-FFF2-40B4-BE49-F238E27FC236}">
              <a16:creationId xmlns:a16="http://schemas.microsoft.com/office/drawing/2014/main" id="{29389217-A985-51E5-A1CF-A857DF5A130E}"/>
            </a:ext>
          </a:extLst>
        </xdr:cNvPr>
        <xdr:cNvSpPr/>
      </xdr:nvSpPr>
      <xdr:spPr>
        <a:xfrm>
          <a:off x="8134350" y="1200150"/>
          <a:ext cx="3778250" cy="2876550"/>
        </a:xfrm>
        <a:prstGeom prst="roundRect">
          <a:avLst>
            <a:gd name="adj" fmla="val 16733"/>
          </a:avLst>
        </a:prstGeom>
        <a:solidFill>
          <a:srgbClr val="284612"/>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u="sng">
              <a:solidFill>
                <a:schemeClr val="accent3">
                  <a:lumMod val="20000"/>
                  <a:lumOff val="80000"/>
                </a:schemeClr>
              </a:solidFill>
              <a:latin typeface="Times New Roman" panose="02020603050405020304" pitchFamily="18" charset="0"/>
              <a:cs typeface="Times New Roman" panose="02020603050405020304" pitchFamily="18" charset="0"/>
            </a:rPr>
            <a:t>Key Insights</a:t>
          </a:r>
        </a:p>
        <a:p>
          <a:pPr lvl="0" algn="just"/>
          <a:r>
            <a:rPr lang="en-US" sz="900" b="1">
              <a:solidFill>
                <a:schemeClr val="accent3">
                  <a:lumMod val="20000"/>
                  <a:lumOff val="80000"/>
                </a:schemeClr>
              </a:solidFill>
              <a:latin typeface="Times New Roman" panose="02020603050405020304" pitchFamily="18" charset="0"/>
              <a:cs typeface="Times New Roman" panose="02020603050405020304" pitchFamily="18" charset="0"/>
            </a:rPr>
            <a:t>1. Abuja Central is the top-performing branch for revenue and profit, while Port Harcourt Hub is the weakest, a strong candidate for extra support or marketing in H2.</a:t>
          </a:r>
        </a:p>
        <a:p>
          <a:pPr lvl="0" algn="just"/>
          <a:endParaRPr lang="en-US" sz="900" b="1">
            <a:solidFill>
              <a:schemeClr val="accent3">
                <a:lumMod val="20000"/>
                <a:lumOff val="80000"/>
              </a:schemeClr>
            </a:solidFill>
            <a:latin typeface="Times New Roman" panose="02020603050405020304" pitchFamily="18" charset="0"/>
            <a:cs typeface="Times New Roman" panose="02020603050405020304" pitchFamily="18" charset="0"/>
          </a:endParaRPr>
        </a:p>
        <a:p>
          <a:pPr lvl="0" algn="just"/>
          <a:r>
            <a:rPr lang="en-US" sz="900" b="1">
              <a:solidFill>
                <a:schemeClr val="accent3">
                  <a:lumMod val="20000"/>
                  <a:lumOff val="80000"/>
                </a:schemeClr>
              </a:solidFill>
              <a:latin typeface="Times New Roman" panose="02020603050405020304" pitchFamily="18" charset="0"/>
              <a:cs typeface="Times New Roman" panose="02020603050405020304" pitchFamily="18" charset="0"/>
            </a:rPr>
            <a:t>2. Grains (led by Basmati Rice 5kg) bring in the most money by far compared to other categories, keep this well-stocked across all branches.</a:t>
          </a:r>
        </a:p>
        <a:p>
          <a:pPr lvl="0" algn="just"/>
          <a:endParaRPr lang="en-US" sz="900" b="1">
            <a:solidFill>
              <a:schemeClr val="accent3">
                <a:lumMod val="20000"/>
                <a:lumOff val="80000"/>
              </a:schemeClr>
            </a:solidFill>
            <a:latin typeface="Times New Roman" panose="02020603050405020304" pitchFamily="18" charset="0"/>
            <a:cs typeface="Times New Roman" panose="02020603050405020304" pitchFamily="18" charset="0"/>
          </a:endParaRPr>
        </a:p>
        <a:p>
          <a:pPr lvl="0" algn="just"/>
          <a:r>
            <a:rPr lang="en-US" sz="900" b="1">
              <a:solidFill>
                <a:schemeClr val="accent3">
                  <a:lumMod val="20000"/>
                  <a:lumOff val="80000"/>
                </a:schemeClr>
              </a:solidFill>
              <a:latin typeface="Times New Roman" panose="02020603050405020304" pitchFamily="18" charset="0"/>
              <a:cs typeface="Times New Roman" panose="02020603050405020304" pitchFamily="18" charset="0"/>
            </a:rPr>
            <a:t>3. Retail customers bring in the most revenue (42%), more than Corporate (34%) or Wholesale (24%)</a:t>
          </a:r>
          <a:r>
            <a:rPr lang="en-US" sz="900" b="1" baseline="0">
              <a:solidFill>
                <a:schemeClr val="accent3">
                  <a:lumMod val="20000"/>
                  <a:lumOff val="80000"/>
                </a:schemeClr>
              </a:solidFill>
              <a:latin typeface="Times New Roman" panose="02020603050405020304" pitchFamily="18" charset="0"/>
              <a:cs typeface="Times New Roman" panose="02020603050405020304" pitchFamily="18" charset="0"/>
            </a:rPr>
            <a:t> -</a:t>
          </a:r>
          <a:r>
            <a:rPr lang="en-US" sz="900" b="1">
              <a:solidFill>
                <a:schemeClr val="accent3">
                  <a:lumMod val="20000"/>
                  <a:lumOff val="80000"/>
                </a:schemeClr>
              </a:solidFill>
              <a:latin typeface="Times New Roman" panose="02020603050405020304" pitchFamily="18" charset="0"/>
              <a:cs typeface="Times New Roman" panose="02020603050405020304" pitchFamily="18" charset="0"/>
            </a:rPr>
            <a:t> worth focusing more promotions on them.</a:t>
          </a:r>
        </a:p>
        <a:p>
          <a:pPr lvl="0" algn="just"/>
          <a:endParaRPr lang="en-US" sz="900" b="1">
            <a:solidFill>
              <a:schemeClr val="accent3">
                <a:lumMod val="20000"/>
                <a:lumOff val="80000"/>
              </a:schemeClr>
            </a:solidFill>
            <a:latin typeface="Times New Roman" panose="02020603050405020304" pitchFamily="18" charset="0"/>
            <a:cs typeface="Times New Roman" panose="02020603050405020304" pitchFamily="18" charset="0"/>
          </a:endParaRPr>
        </a:p>
        <a:p>
          <a:pPr lvl="0" algn="just"/>
          <a:r>
            <a:rPr lang="en-US" sz="900" b="1">
              <a:solidFill>
                <a:schemeClr val="accent3">
                  <a:lumMod val="20000"/>
                  <a:lumOff val="80000"/>
                </a:schemeClr>
              </a:solidFill>
              <a:latin typeface="Times New Roman" panose="02020603050405020304" pitchFamily="18" charset="0"/>
              <a:cs typeface="Times New Roman" panose="02020603050405020304" pitchFamily="18" charset="0"/>
            </a:rPr>
            <a:t>4. Sales dropped between March and May before picking back up in June, worth checking stock levels or demand around that period.</a:t>
          </a:r>
        </a:p>
        <a:p>
          <a:pPr lvl="0" algn="just"/>
          <a:endParaRPr lang="en-US" sz="900" b="1">
            <a:solidFill>
              <a:schemeClr val="accent3">
                <a:lumMod val="20000"/>
                <a:lumOff val="80000"/>
              </a:schemeClr>
            </a:solidFill>
            <a:latin typeface="Times New Roman" panose="02020603050405020304" pitchFamily="18" charset="0"/>
            <a:cs typeface="Times New Roman" panose="02020603050405020304" pitchFamily="18" charset="0"/>
          </a:endParaRPr>
        </a:p>
        <a:p>
          <a:pPr lvl="0" algn="just"/>
          <a:r>
            <a:rPr lang="en-US" sz="900" b="1">
              <a:solidFill>
                <a:schemeClr val="accent3">
                  <a:lumMod val="20000"/>
                  <a:lumOff val="80000"/>
                </a:schemeClr>
              </a:solidFill>
              <a:latin typeface="Times New Roman" panose="02020603050405020304" pitchFamily="18" charset="0"/>
              <a:cs typeface="Times New Roman" panose="02020603050405020304" pitchFamily="18" charset="0"/>
            </a:rPr>
            <a:t>5. Basmati Rice 5kg is by far the best-selling product, this should always be in stock.</a:t>
          </a:r>
          <a:endParaRPr lang="en-NG" sz="900" b="1">
            <a:solidFill>
              <a:schemeClr val="accent3">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311930</xdr:colOff>
      <xdr:row>0</xdr:row>
      <xdr:rowOff>42834</xdr:rowOff>
    </xdr:from>
    <xdr:to>
      <xdr:col>10</xdr:col>
      <xdr:colOff>267368</xdr:colOff>
      <xdr:row>13</xdr:row>
      <xdr:rowOff>178245</xdr:rowOff>
    </xdr:to>
    <mc:AlternateContent xmlns:mc="http://schemas.openxmlformats.org/markup-compatibility/2006">
      <mc:Choice xmlns:a14="http://schemas.microsoft.com/office/drawing/2010/main" Requires="a14">
        <xdr:graphicFrame macro="">
          <xdr:nvGraphicFramePr>
            <xdr:cNvPr id="2" name="Store_Branch">
              <a:extLst>
                <a:ext uri="{FF2B5EF4-FFF2-40B4-BE49-F238E27FC236}">
                  <a16:creationId xmlns:a16="http://schemas.microsoft.com/office/drawing/2014/main" id="{32E5A78E-183F-37F5-B9DE-37D1BFE3CBEA}"/>
                </a:ext>
              </a:extLst>
            </xdr:cNvPr>
            <xdr:cNvGraphicFramePr/>
          </xdr:nvGraphicFramePr>
          <xdr:xfrm>
            <a:off x="0" y="0"/>
            <a:ext cx="0" cy="0"/>
          </xdr:xfrm>
          <a:graphic>
            <a:graphicData uri="http://schemas.microsoft.com/office/drawing/2010/slicer">
              <sle:slicer xmlns:sle="http://schemas.microsoft.com/office/drawing/2010/slicer" name="Store_Branch"/>
            </a:graphicData>
          </a:graphic>
        </xdr:graphicFrame>
      </mc:Choice>
      <mc:Fallback>
        <xdr:sp macro="" textlink="">
          <xdr:nvSpPr>
            <xdr:cNvPr id="0" name=""/>
            <xdr:cNvSpPr>
              <a:spLocks noTextEdit="1"/>
            </xdr:cNvSpPr>
          </xdr:nvSpPr>
          <xdr:spPr>
            <a:xfrm>
              <a:off x="5625877" y="42834"/>
              <a:ext cx="3019035" cy="259742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311930</xdr:colOff>
      <xdr:row>0</xdr:row>
      <xdr:rowOff>53975</xdr:rowOff>
    </xdr:from>
    <xdr:to>
      <xdr:col>15</xdr:col>
      <xdr:colOff>501316</xdr:colOff>
      <xdr:row>14</xdr:row>
      <xdr:rowOff>0</xdr:rowOff>
    </xdr:to>
    <mc:AlternateContent xmlns:mc="http://schemas.openxmlformats.org/markup-compatibility/2006">
      <mc:Choice xmlns:a14="http://schemas.microsoft.com/office/drawing/2010/main" Requires="a14">
        <xdr:graphicFrame macro="">
          <xdr:nvGraphicFramePr>
            <xdr:cNvPr id="3" name="Customer_Segment">
              <a:extLst>
                <a:ext uri="{FF2B5EF4-FFF2-40B4-BE49-F238E27FC236}">
                  <a16:creationId xmlns:a16="http://schemas.microsoft.com/office/drawing/2014/main" id="{F755085D-53C2-F9A1-3073-D78AD9709454}"/>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8689474" y="53975"/>
              <a:ext cx="3252982" cy="259742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575512</xdr:colOff>
      <xdr:row>0</xdr:row>
      <xdr:rowOff>0</xdr:rowOff>
    </xdr:from>
    <xdr:to>
      <xdr:col>25</xdr:col>
      <xdr:colOff>345350</xdr:colOff>
      <xdr:row>14</xdr:row>
      <xdr:rowOff>170335</xdr:rowOff>
    </xdr:to>
    <xdr:graphicFrame macro="">
      <xdr:nvGraphicFramePr>
        <xdr:cNvPr id="4" name="Chart 3">
          <a:extLst>
            <a:ext uri="{FF2B5EF4-FFF2-40B4-BE49-F238E27FC236}">
              <a16:creationId xmlns:a16="http://schemas.microsoft.com/office/drawing/2014/main" id="{ED0C091D-EC0C-EADD-B247-D0AA84257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423333</xdr:colOff>
      <xdr:row>15</xdr:row>
      <xdr:rowOff>65060</xdr:rowOff>
    </xdr:from>
    <xdr:to>
      <xdr:col>18</xdr:col>
      <xdr:colOff>601579</xdr:colOff>
      <xdr:row>38</xdr:row>
      <xdr:rowOff>77981</xdr:rowOff>
    </xdr:to>
    <xdr:graphicFrame macro="">
      <xdr:nvGraphicFramePr>
        <xdr:cNvPr id="5" name="Chart 4">
          <a:extLst>
            <a:ext uri="{FF2B5EF4-FFF2-40B4-BE49-F238E27FC236}">
              <a16:creationId xmlns:a16="http://schemas.microsoft.com/office/drawing/2014/main" id="{C8A74249-0ED9-9BE1-E487-2187B2E54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267370</xdr:colOff>
      <xdr:row>14</xdr:row>
      <xdr:rowOff>33421</xdr:rowOff>
    </xdr:from>
    <xdr:to>
      <xdr:col>11</xdr:col>
      <xdr:colOff>300790</xdr:colOff>
      <xdr:row>26</xdr:row>
      <xdr:rowOff>44562</xdr:rowOff>
    </xdr:to>
    <xdr:graphicFrame macro="">
      <xdr:nvGraphicFramePr>
        <xdr:cNvPr id="6" name="Chart 5">
          <a:extLst>
            <a:ext uri="{FF2B5EF4-FFF2-40B4-BE49-F238E27FC236}">
              <a16:creationId xmlns:a16="http://schemas.microsoft.com/office/drawing/2014/main" id="{823FA84B-E0C3-A92B-9402-7B6C50F42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66842</xdr:colOff>
      <xdr:row>15</xdr:row>
      <xdr:rowOff>93801</xdr:rowOff>
    </xdr:from>
    <xdr:to>
      <xdr:col>25</xdr:col>
      <xdr:colOff>601578</xdr:colOff>
      <xdr:row>30</xdr:row>
      <xdr:rowOff>100262</xdr:rowOff>
    </xdr:to>
    <xdr:graphicFrame macro="">
      <xdr:nvGraphicFramePr>
        <xdr:cNvPr id="7" name="Chart 6">
          <a:extLst>
            <a:ext uri="{FF2B5EF4-FFF2-40B4-BE49-F238E27FC236}">
              <a16:creationId xmlns:a16="http://schemas.microsoft.com/office/drawing/2014/main" id="{E52C6A9B-07D6-F229-A29E-BF82C831A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216181</xdr:colOff>
      <xdr:row>26</xdr:row>
      <xdr:rowOff>101657</xdr:rowOff>
    </xdr:from>
    <xdr:to>
      <xdr:col>11</xdr:col>
      <xdr:colOff>334211</xdr:colOff>
      <xdr:row>38</xdr:row>
      <xdr:rowOff>89123</xdr:rowOff>
    </xdr:to>
    <xdr:graphicFrame macro="">
      <xdr:nvGraphicFramePr>
        <xdr:cNvPr id="8" name="Chart 7">
          <a:extLst>
            <a:ext uri="{FF2B5EF4-FFF2-40B4-BE49-F238E27FC236}">
              <a16:creationId xmlns:a16="http://schemas.microsoft.com/office/drawing/2014/main" id="{B2AEE317-2876-3D94-AB0A-010437E7D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Mattew" refreshedDate="46259.60750416667" createdVersion="8" refreshedVersion="8" minRefreshableVersion="3" recordCount="100" xr:uid="{498EBB11-14BE-4293-A080-8F708FD8A938}">
  <cacheSource type="worksheet">
    <worksheetSource ref="A1:T101" sheet="Cleaned_Sales_Data"/>
  </cacheSource>
  <cacheFields count="20">
    <cacheField name="Transaction_ID" numFmtId="0">
      <sharedItems/>
    </cacheField>
    <cacheField name="Order_Date" numFmtId="14">
      <sharedItems/>
    </cacheField>
    <cacheField name="Month" numFmtId="14">
      <sharedItems count="6">
        <s v="April"/>
        <s v="June"/>
        <s v="January"/>
        <s v="March"/>
        <s v="May"/>
        <s v="February"/>
      </sharedItems>
    </cacheField>
    <cacheField name="Customer_ID" numFmtId="0">
      <sharedItems/>
    </cacheField>
    <cacheField name="Customer_Name" numFmtId="0">
      <sharedItems/>
    </cacheField>
    <cacheField name="Gender" numFmtId="0">
      <sharedItems/>
    </cacheField>
    <cacheField name="Customer_Segment" numFmtId="0">
      <sharedItems count="3">
        <s v="Retail"/>
        <s v="Corporate"/>
        <s v="Wholesale"/>
      </sharedItems>
    </cacheField>
    <cacheField name="Location_State" numFmtId="0">
      <sharedItems/>
    </cacheField>
    <cacheField name="Product_ID" numFmtId="0">
      <sharedItems/>
    </cacheField>
    <cacheField name="Product Name" numFmtId="0">
      <sharedItems count="10">
        <s v="Whole Milk Powder 400g"/>
        <s v="Vegetable Oil 1L"/>
        <s v="Basmati Rice 5kg"/>
        <s v="Fruit Juice 1L"/>
        <s v="Tomato Paste 400g"/>
        <s v="Instant Noodles 70g"/>
        <s v="Toothpaste 140g"/>
        <s v="Laundry Detergent 1kg"/>
        <s v="Toilet Soap 120g"/>
        <s v="Malt Beverage 33cl"/>
      </sharedItems>
    </cacheField>
    <cacheField name="Category" numFmtId="0">
      <sharedItems count="7">
        <s v="Dairy"/>
        <s v="Cooking Ingredients"/>
        <s v="Grains"/>
        <s v="Beverages"/>
        <s v="Packaged Food"/>
        <s v="Personal Care"/>
        <s v="Household"/>
      </sharedItems>
    </cacheField>
    <cacheField name="Quantity_Sold" numFmtId="0">
      <sharedItems containsSemiMixedTypes="0" containsString="0" containsNumber="1" containsInteger="1" minValue="1" maxValue="25"/>
    </cacheField>
    <cacheField name="Unit_Cost_NGN" numFmtId="164">
      <sharedItems containsSemiMixedTypes="0" containsString="0" containsNumber="1" containsInteger="1" minValue="120" maxValue="6500"/>
    </cacheField>
    <cacheField name="Unit_Price_NGN" numFmtId="164">
      <sharedItems containsSemiMixedTypes="0" containsString="0" containsNumber="1" containsInteger="1" minValue="180" maxValue="8500"/>
    </cacheField>
    <cacheField name="Total_Revenue_NGN" numFmtId="164">
      <sharedItems containsSemiMixedTypes="0" containsString="0" containsNumber="1" containsInteger="1" minValue="360" maxValue="195500"/>
    </cacheField>
    <cacheField name="Total_Cost_NGN" numFmtId="164">
      <sharedItems containsSemiMixedTypes="0" containsString="0" containsNumber="1" containsInteger="1" minValue="240" maxValue="149500"/>
    </cacheField>
    <cacheField name="Profit_NGN" numFmtId="164">
      <sharedItems containsSemiMixedTypes="0" containsString="0" containsNumber="1" containsInteger="1" minValue="120" maxValue="46000"/>
    </cacheField>
    <cacheField name="Profit_Margin_Pct" numFmtId="9">
      <sharedItems containsSemiMixedTypes="0" containsString="0" containsNumber="1" minValue="0.23529411764705882" maxValue="0.33333333333333331"/>
    </cacheField>
    <cacheField name="Store_Branch" numFmtId="0">
      <sharedItems count="5">
        <s v="Lagos Main"/>
        <s v="Abuja Central"/>
        <s v="Port Harcourt Hub"/>
        <s v="Kano Retail"/>
        <s v="Ibadan Depot"/>
      </sharedItems>
    </cacheField>
    <cacheField name="Payment_Method" numFmtId="0">
      <sharedItems/>
    </cacheField>
  </cacheFields>
  <extLst>
    <ext xmlns:x14="http://schemas.microsoft.com/office/spreadsheetml/2009/9/main" uri="{725AE2AE-9491-48be-B2B4-4EB974FC3084}">
      <x14:pivotCacheDefinition pivotCacheId="179521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XN-10001"/>
    <s v="13-Apr-2026"/>
    <x v="0"/>
    <s v="CUST2001"/>
    <s v="Amina Bello"/>
    <s v="Female"/>
    <x v="0"/>
    <s v="Lagos"/>
    <s v="PRD103"/>
    <x v="0"/>
    <x v="0"/>
    <n v="21"/>
    <n v="1800"/>
    <n v="2400"/>
    <n v="50400"/>
    <n v="37800"/>
    <n v="12600"/>
    <n v="0.25"/>
    <x v="0"/>
    <s v="POS"/>
  </r>
  <r>
    <s v="TXN-10002"/>
    <s v="29-Jun-2026"/>
    <x v="1"/>
    <s v="CUST2010"/>
    <s v="Blessing John"/>
    <s v="Female"/>
    <x v="0"/>
    <s v="Abuja"/>
    <s v="PRD105"/>
    <x v="1"/>
    <x v="1"/>
    <n v="4"/>
    <n v="2200"/>
    <n v="2900"/>
    <n v="11600"/>
    <n v="8800"/>
    <n v="2800"/>
    <n v="0.2413793103448276"/>
    <x v="1"/>
    <s v="BANK TRANSFER"/>
  </r>
  <r>
    <s v="TXN-10003"/>
    <s v="03-Apr-2026"/>
    <x v="0"/>
    <s v="CUST2010"/>
    <s v="Blessing John"/>
    <s v="Female"/>
    <x v="0"/>
    <s v="Abuja"/>
    <s v="PRD107"/>
    <x v="2"/>
    <x v="2"/>
    <n v="1"/>
    <n v="6500"/>
    <n v="8500"/>
    <n v="8500"/>
    <n v="6500"/>
    <n v="2000"/>
    <n v="0.23529411764705882"/>
    <x v="2"/>
    <s v="CASH"/>
  </r>
  <r>
    <s v="TXN-10004"/>
    <s v="15-Jan-2026"/>
    <x v="2"/>
    <s v="CUST2012"/>
    <s v="Fatima Abubakar"/>
    <s v="Female"/>
    <x v="0"/>
    <s v="Kano"/>
    <s v="PRD109"/>
    <x v="3"/>
    <x v="3"/>
    <n v="24"/>
    <n v="750"/>
    <n v="1100"/>
    <n v="26400"/>
    <n v="18000"/>
    <n v="8400"/>
    <n v="0.31818181818181818"/>
    <x v="3"/>
    <s v="USSD"/>
  </r>
  <r>
    <s v="TXN-10005"/>
    <s v="17-Apr-2026"/>
    <x v="0"/>
    <s v="CUST2009"/>
    <s v="Yinka Ogundipe"/>
    <s v="Male"/>
    <x v="1"/>
    <s v="Lagos"/>
    <s v="PRD107"/>
    <x v="2"/>
    <x v="2"/>
    <n v="9"/>
    <n v="6500"/>
    <n v="8500"/>
    <n v="76500"/>
    <n v="58500"/>
    <n v="18000"/>
    <n v="0.23529411764705882"/>
    <x v="4"/>
    <s v="POS"/>
  </r>
  <r>
    <s v="TXN-10006"/>
    <s v="13-Mar-2026"/>
    <x v="3"/>
    <s v="CUST2012"/>
    <s v="Fatima Abubakar"/>
    <s v="Female"/>
    <x v="0"/>
    <s v="Kano"/>
    <s v="PRD108"/>
    <x v="4"/>
    <x v="1"/>
    <n v="8"/>
    <n v="600"/>
    <n v="850"/>
    <n v="6800"/>
    <n v="4800"/>
    <n v="2000"/>
    <n v="0.29411764705882354"/>
    <x v="0"/>
    <s v="BANK TRANSFER"/>
  </r>
  <r>
    <s v="TXN-10007"/>
    <s v="21-Jan-2026"/>
    <x v="2"/>
    <s v="CUST2001"/>
    <s v="Amina Bello"/>
    <s v="Female"/>
    <x v="0"/>
    <s v="Lagos"/>
    <s v="PRD102"/>
    <x v="5"/>
    <x v="4"/>
    <n v="8"/>
    <n v="120"/>
    <n v="180"/>
    <n v="1440"/>
    <n v="960"/>
    <n v="480"/>
    <n v="0.33333333333333331"/>
    <x v="1"/>
    <s v="CASH"/>
  </r>
  <r>
    <s v="TXN-10008"/>
    <s v="13-Apr-2026"/>
    <x v="0"/>
    <s v="CUST2007"/>
    <s v="Ngozi Eze"/>
    <s v="Female"/>
    <x v="0"/>
    <s v="Rivers"/>
    <s v="PRD107"/>
    <x v="2"/>
    <x v="2"/>
    <n v="5"/>
    <n v="6500"/>
    <n v="8500"/>
    <n v="42500"/>
    <n v="32500"/>
    <n v="10000"/>
    <n v="0.23529411764705882"/>
    <x v="2"/>
    <s v="USSD"/>
  </r>
  <r>
    <s v="TXN-10009"/>
    <s v="02-May-2026"/>
    <x v="4"/>
    <s v="CUST2005"/>
    <s v="Zainab Ibrahim"/>
    <s v="Female"/>
    <x v="0"/>
    <s v="Lagos"/>
    <s v="PRD108"/>
    <x v="4"/>
    <x v="1"/>
    <n v="24"/>
    <n v="600"/>
    <n v="850"/>
    <n v="20400"/>
    <n v="14400"/>
    <n v="6000"/>
    <n v="0.29411764705882354"/>
    <x v="3"/>
    <s v="POS"/>
  </r>
  <r>
    <s v="TXN-10010"/>
    <s v="16-Mar-2026"/>
    <x v="3"/>
    <s v="CUST2012"/>
    <s v="Fatima Abubakar"/>
    <s v="Female"/>
    <x v="0"/>
    <s v="Kano"/>
    <s v="PRD103"/>
    <x v="0"/>
    <x v="0"/>
    <n v="4"/>
    <n v="1800"/>
    <n v="2400"/>
    <n v="9600"/>
    <n v="7200"/>
    <n v="2400"/>
    <n v="0.25"/>
    <x v="4"/>
    <s v="BANK TRANSFER"/>
  </r>
  <r>
    <s v="TXN-10011"/>
    <s v="29-Mar-2026"/>
    <x v="3"/>
    <s v="CUST2006"/>
    <s v="Tunde Bakare"/>
    <s v="Male"/>
    <x v="2"/>
    <s v="Oyo"/>
    <s v="PRD108"/>
    <x v="4"/>
    <x v="1"/>
    <n v="22"/>
    <n v="600"/>
    <n v="850"/>
    <n v="18700"/>
    <n v="13200"/>
    <n v="5500"/>
    <n v="0.29411764705882354"/>
    <x v="0"/>
    <s v="CASH"/>
  </r>
  <r>
    <s v="TXN-10012"/>
    <s v="27-Apr-2026"/>
    <x v="0"/>
    <s v="CUST2001"/>
    <s v="Amina Bello"/>
    <s v="Female"/>
    <x v="0"/>
    <s v="Lagos"/>
    <s v="PRD103"/>
    <x v="0"/>
    <x v="0"/>
    <n v="24"/>
    <n v="1800"/>
    <n v="2400"/>
    <n v="57600"/>
    <n v="43200"/>
    <n v="14400"/>
    <n v="0.25"/>
    <x v="1"/>
    <s v="USSD"/>
  </r>
  <r>
    <s v="TXN-10013"/>
    <s v="10-Apr-2026"/>
    <x v="0"/>
    <s v="CUST2005"/>
    <s v="Zainab Ibrahim"/>
    <s v="Female"/>
    <x v="0"/>
    <s v="Lagos"/>
    <s v="PRD103"/>
    <x v="0"/>
    <x v="0"/>
    <n v="18"/>
    <n v="1800"/>
    <n v="2400"/>
    <n v="43200"/>
    <n v="32400"/>
    <n v="10800"/>
    <n v="0.25"/>
    <x v="2"/>
    <s v="POS"/>
  </r>
  <r>
    <s v="TXN-10014"/>
    <s v="14-Apr-2026"/>
    <x v="0"/>
    <s v="CUST2001"/>
    <s v="Amina Bello"/>
    <s v="Female"/>
    <x v="0"/>
    <s v="Lagos"/>
    <s v="PRD103"/>
    <x v="0"/>
    <x v="0"/>
    <n v="3"/>
    <n v="1800"/>
    <n v="2400"/>
    <n v="7200"/>
    <n v="5400"/>
    <n v="1800"/>
    <n v="0.25"/>
    <x v="3"/>
    <s v="BANK TRANSFER"/>
  </r>
  <r>
    <s v="TXN-10015"/>
    <s v="01-Jun-2026"/>
    <x v="1"/>
    <s v="CUST2010"/>
    <s v="Blessing John"/>
    <s v="Female"/>
    <x v="0"/>
    <s v="Abuja"/>
    <s v="PRD105"/>
    <x v="1"/>
    <x v="1"/>
    <n v="19"/>
    <n v="2200"/>
    <n v="2900"/>
    <n v="55100"/>
    <n v="41800"/>
    <n v="13300"/>
    <n v="0.2413793103448276"/>
    <x v="4"/>
    <s v="CASH"/>
  </r>
  <r>
    <s v="TXN-10016"/>
    <s v="11-May-2026"/>
    <x v="4"/>
    <s v="CUST2015"/>
    <s v="Hadiza Usman"/>
    <s v="Female"/>
    <x v="2"/>
    <s v="Kaduna"/>
    <s v="PRD107"/>
    <x v="2"/>
    <x v="2"/>
    <n v="14"/>
    <n v="6500"/>
    <n v="8500"/>
    <n v="119000"/>
    <n v="91000"/>
    <n v="28000"/>
    <n v="0.23529411764705882"/>
    <x v="0"/>
    <s v="USSD"/>
  </r>
  <r>
    <s v="TXN-10017"/>
    <s v="30-May-2026"/>
    <x v="4"/>
    <s v="CUST2011"/>
    <s v="Kelechi Amadi"/>
    <s v="Male"/>
    <x v="2"/>
    <s v="Enugu"/>
    <s v="PRD107"/>
    <x v="2"/>
    <x v="2"/>
    <n v="2"/>
    <n v="6500"/>
    <n v="8500"/>
    <n v="17000"/>
    <n v="13000"/>
    <n v="4000"/>
    <n v="0.23529411764705882"/>
    <x v="1"/>
    <s v="POS"/>
  </r>
  <r>
    <s v="TXN-10018"/>
    <s v="22-Feb-2026"/>
    <x v="5"/>
    <s v="CUST2015"/>
    <s v="Hadiza Usman"/>
    <s v="Female"/>
    <x v="2"/>
    <s v="Kaduna"/>
    <s v="PRD109"/>
    <x v="3"/>
    <x v="3"/>
    <n v="1"/>
    <n v="750"/>
    <n v="1100"/>
    <n v="1100"/>
    <n v="750"/>
    <n v="350"/>
    <n v="0.31818181818181818"/>
    <x v="2"/>
    <s v="BANK TRANSFER"/>
  </r>
  <r>
    <s v="TXN-10019"/>
    <s v="02-Jan-2026"/>
    <x v="2"/>
    <s v="CUST2010"/>
    <s v="Blessing John"/>
    <s v="Female"/>
    <x v="0"/>
    <s v="Abuja"/>
    <s v="PRD110"/>
    <x v="6"/>
    <x v="5"/>
    <n v="3"/>
    <n v="450"/>
    <n v="650"/>
    <n v="1950"/>
    <n v="1350"/>
    <n v="600"/>
    <n v="0.30769230769230771"/>
    <x v="3"/>
    <s v="CASH"/>
  </r>
  <r>
    <s v="TXN-10020"/>
    <s v="29-Mar-2026"/>
    <x v="3"/>
    <s v="CUST2015"/>
    <s v="Hadiza Usman"/>
    <s v="Female"/>
    <x v="2"/>
    <s v="Kaduna"/>
    <s v="PRD103"/>
    <x v="0"/>
    <x v="0"/>
    <n v="7"/>
    <n v="1800"/>
    <n v="2400"/>
    <n v="16800"/>
    <n v="12600"/>
    <n v="4200"/>
    <n v="0.25"/>
    <x v="4"/>
    <s v="USSD"/>
  </r>
  <r>
    <s v="TXN-10021"/>
    <s v="07-Jun-2026"/>
    <x v="1"/>
    <s v="CUST2001"/>
    <s v="Amina Bello"/>
    <s v="Female"/>
    <x v="0"/>
    <s v="Lagos"/>
    <s v="PRD107"/>
    <x v="2"/>
    <x v="2"/>
    <n v="8"/>
    <n v="6500"/>
    <n v="8500"/>
    <n v="68000"/>
    <n v="52000"/>
    <n v="16000"/>
    <n v="0.23529411764705882"/>
    <x v="0"/>
    <s v="POS"/>
  </r>
  <r>
    <s v="TXN-10022"/>
    <s v="07-Feb-2026"/>
    <x v="5"/>
    <s v="CUST2013"/>
    <s v="Seyi Oladipo"/>
    <s v="Male"/>
    <x v="1"/>
    <s v="Lagos"/>
    <s v="PRD104"/>
    <x v="7"/>
    <x v="6"/>
    <n v="17"/>
    <n v="850"/>
    <n v="1200"/>
    <n v="20400"/>
    <n v="14450"/>
    <n v="5950"/>
    <n v="0.29166666666666669"/>
    <x v="1"/>
    <s v="BANK TRANSFER"/>
  </r>
  <r>
    <s v="TXN-10023"/>
    <s v="10-May-2026"/>
    <x v="4"/>
    <s v="CUST2014"/>
    <s v="Uche Nwachukwu"/>
    <s v="Male"/>
    <x v="0"/>
    <s v="Rivers"/>
    <s v="PRD104"/>
    <x v="7"/>
    <x v="6"/>
    <n v="20"/>
    <n v="850"/>
    <n v="1200"/>
    <n v="24000"/>
    <n v="17000"/>
    <n v="7000"/>
    <n v="0.29166666666666669"/>
    <x v="2"/>
    <s v="CASH"/>
  </r>
  <r>
    <s v="TXN-10024"/>
    <s v="21-Jan-2026"/>
    <x v="2"/>
    <s v="CUST2007"/>
    <s v="Ngozi Eze"/>
    <s v="Female"/>
    <x v="0"/>
    <s v="Rivers"/>
    <s v="PRD105"/>
    <x v="1"/>
    <x v="1"/>
    <n v="1"/>
    <n v="2200"/>
    <n v="2900"/>
    <n v="2900"/>
    <n v="2200"/>
    <n v="700"/>
    <n v="0.2413793103448276"/>
    <x v="3"/>
    <s v="USSD"/>
  </r>
  <r>
    <s v="TXN-10025"/>
    <s v="10-Jun-2026"/>
    <x v="1"/>
    <s v="CUST2013"/>
    <s v="Seyi Oladipo"/>
    <s v="Male"/>
    <x v="1"/>
    <s v="Lagos"/>
    <s v="PRD107"/>
    <x v="2"/>
    <x v="2"/>
    <n v="18"/>
    <n v="6500"/>
    <n v="8500"/>
    <n v="153000"/>
    <n v="117000"/>
    <n v="36000"/>
    <n v="0.23529411764705882"/>
    <x v="4"/>
    <s v="POS"/>
  </r>
  <r>
    <s v="TXN-10026"/>
    <s v="27-Feb-2026"/>
    <x v="5"/>
    <s v="CUST2013"/>
    <s v="Seyi Oladipo"/>
    <s v="Male"/>
    <x v="1"/>
    <s v="Lagos"/>
    <s v="PRD104"/>
    <x v="7"/>
    <x v="6"/>
    <n v="7"/>
    <n v="850"/>
    <n v="1200"/>
    <n v="8400"/>
    <n v="5950"/>
    <n v="2450"/>
    <n v="0.29166666666666669"/>
    <x v="0"/>
    <s v="BANK TRANSFER"/>
  </r>
  <r>
    <s v="TXN-10027"/>
    <s v="22-Jan-2026"/>
    <x v="2"/>
    <s v="CUST2011"/>
    <s v="Kelechi Amadi"/>
    <s v="Male"/>
    <x v="2"/>
    <s v="Enugu"/>
    <s v="PRD107"/>
    <x v="2"/>
    <x v="2"/>
    <n v="23"/>
    <n v="6500"/>
    <n v="8500"/>
    <n v="195500"/>
    <n v="149500"/>
    <n v="46000"/>
    <n v="0.23529411764705882"/>
    <x v="1"/>
    <s v="CASH"/>
  </r>
  <r>
    <s v="TXN-10028"/>
    <s v="30-Mar-2026"/>
    <x v="3"/>
    <s v="CUST2006"/>
    <s v="Tunde Bakare"/>
    <s v="Male"/>
    <x v="2"/>
    <s v="Oyo"/>
    <s v="PRD103"/>
    <x v="0"/>
    <x v="0"/>
    <n v="21"/>
    <n v="1800"/>
    <n v="2400"/>
    <n v="50400"/>
    <n v="37800"/>
    <n v="12600"/>
    <n v="0.25"/>
    <x v="2"/>
    <s v="USSD"/>
  </r>
  <r>
    <s v="TXN-10029"/>
    <s v="18-Feb-2026"/>
    <x v="5"/>
    <s v="CUST2010"/>
    <s v="Blessing John"/>
    <s v="Female"/>
    <x v="0"/>
    <s v="Abuja"/>
    <s v="PRD102"/>
    <x v="5"/>
    <x v="4"/>
    <n v="23"/>
    <n v="120"/>
    <n v="180"/>
    <n v="4140"/>
    <n v="2760"/>
    <n v="1380"/>
    <n v="0.33333333333333331"/>
    <x v="3"/>
    <s v="POS"/>
  </r>
  <r>
    <s v="TXN-10030"/>
    <s v="28-Feb-2026"/>
    <x v="5"/>
    <s v="CUST2005"/>
    <s v="Zainab Ibrahim"/>
    <s v="Female"/>
    <x v="0"/>
    <s v="Lagos"/>
    <s v="PRD109"/>
    <x v="3"/>
    <x v="3"/>
    <n v="18"/>
    <n v="750"/>
    <n v="1100"/>
    <n v="19800"/>
    <n v="13500"/>
    <n v="6300"/>
    <n v="0.31818181818181818"/>
    <x v="4"/>
    <s v="BANK TRANSFER"/>
  </r>
  <r>
    <s v="TXN-10031"/>
    <s v="19-Jun-2026"/>
    <x v="1"/>
    <s v="CUST2012"/>
    <s v="Fatima Abubakar"/>
    <s v="Female"/>
    <x v="0"/>
    <s v="Kano"/>
    <s v="PRD106"/>
    <x v="8"/>
    <x v="5"/>
    <n v="14"/>
    <n v="300"/>
    <n v="450"/>
    <n v="6300"/>
    <n v="4200"/>
    <n v="2100"/>
    <n v="0.33333333333333331"/>
    <x v="0"/>
    <s v="CASH"/>
  </r>
  <r>
    <s v="TXN-10032"/>
    <s v="15-Jan-2026"/>
    <x v="2"/>
    <s v="CUST2014"/>
    <s v="Uche Nwachukwu"/>
    <s v="Male"/>
    <x v="0"/>
    <s v="Rivers"/>
    <s v="PRD104"/>
    <x v="7"/>
    <x v="6"/>
    <n v="8"/>
    <n v="850"/>
    <n v="1200"/>
    <n v="9600"/>
    <n v="6800"/>
    <n v="2800"/>
    <n v="0.29166666666666669"/>
    <x v="1"/>
    <s v="USSD"/>
  </r>
  <r>
    <s v="TXN-10033"/>
    <s v="24-Jun-2026"/>
    <x v="1"/>
    <s v="CUST2007"/>
    <s v="Ngozi Eze"/>
    <s v="Female"/>
    <x v="0"/>
    <s v="Rivers"/>
    <s v="PRD110"/>
    <x v="6"/>
    <x v="5"/>
    <n v="15"/>
    <n v="450"/>
    <n v="650"/>
    <n v="9750"/>
    <n v="6750"/>
    <n v="3000"/>
    <n v="0.30769230769230771"/>
    <x v="2"/>
    <s v="POS"/>
  </r>
  <r>
    <s v="TXN-10034"/>
    <s v="20-Feb-2026"/>
    <x v="5"/>
    <s v="CUST2007"/>
    <s v="Ngozi Eze"/>
    <s v="Female"/>
    <x v="0"/>
    <s v="Rivers"/>
    <s v="PRD109"/>
    <x v="3"/>
    <x v="3"/>
    <n v="19"/>
    <n v="750"/>
    <n v="1100"/>
    <n v="20900"/>
    <n v="14250"/>
    <n v="6650"/>
    <n v="0.31818181818181818"/>
    <x v="3"/>
    <s v="BANK TRANSFER"/>
  </r>
  <r>
    <s v="TXN-10035"/>
    <s v="18-Apr-2026"/>
    <x v="0"/>
    <s v="CUST2001"/>
    <s v="Amina Bello"/>
    <s v="Female"/>
    <x v="0"/>
    <s v="Lagos"/>
    <s v="PRD101"/>
    <x v="9"/>
    <x v="3"/>
    <n v="9"/>
    <n v="250"/>
    <n v="350"/>
    <n v="3150"/>
    <n v="2250"/>
    <n v="900"/>
    <n v="0.2857142857142857"/>
    <x v="4"/>
    <s v="CASH"/>
  </r>
  <r>
    <s v="TXN-10036"/>
    <s v="24-Feb-2026"/>
    <x v="5"/>
    <s v="CUST2011"/>
    <s v="Kelechi Amadi"/>
    <s v="Male"/>
    <x v="2"/>
    <s v="Enugu"/>
    <s v="PRD109"/>
    <x v="3"/>
    <x v="3"/>
    <n v="1"/>
    <n v="750"/>
    <n v="1100"/>
    <n v="1100"/>
    <n v="750"/>
    <n v="350"/>
    <n v="0.31818181818181818"/>
    <x v="0"/>
    <s v="USSD"/>
  </r>
  <r>
    <s v="TXN-10037"/>
    <s v="05-Mar-2026"/>
    <x v="3"/>
    <s v="CUST2004"/>
    <s v="Emeka Nwosu"/>
    <s v="Male"/>
    <x v="1"/>
    <s v="Kano"/>
    <s v="PRD109"/>
    <x v="3"/>
    <x v="3"/>
    <n v="25"/>
    <n v="750"/>
    <n v="1100"/>
    <n v="27500"/>
    <n v="18750"/>
    <n v="8750"/>
    <n v="0.31818181818181818"/>
    <x v="1"/>
    <s v="POS"/>
  </r>
  <r>
    <s v="TXN-10038"/>
    <s v="11-May-2026"/>
    <x v="4"/>
    <s v="CUST2003"/>
    <s v="Funke Adebayo"/>
    <s v="Female"/>
    <x v="0"/>
    <s v="Rivers"/>
    <s v="PRD109"/>
    <x v="3"/>
    <x v="3"/>
    <n v="6"/>
    <n v="750"/>
    <n v="1100"/>
    <n v="6600"/>
    <n v="4500"/>
    <n v="2100"/>
    <n v="0.31818181818181818"/>
    <x v="2"/>
    <s v="BANK TRANSFER"/>
  </r>
  <r>
    <s v="TXN-10039"/>
    <s v="20-Feb-2026"/>
    <x v="5"/>
    <s v="CUST2006"/>
    <s v="Tunde Bakare"/>
    <s v="Male"/>
    <x v="2"/>
    <s v="Oyo"/>
    <s v="PRD107"/>
    <x v="2"/>
    <x v="2"/>
    <n v="23"/>
    <n v="6500"/>
    <n v="8500"/>
    <n v="195500"/>
    <n v="149500"/>
    <n v="46000"/>
    <n v="0.23529411764705882"/>
    <x v="3"/>
    <s v="CASH"/>
  </r>
  <r>
    <s v="TXN-10040"/>
    <s v="15-May-2026"/>
    <x v="4"/>
    <s v="CUST2011"/>
    <s v="Kelechi Amadi"/>
    <s v="Male"/>
    <x v="2"/>
    <s v="Enugu"/>
    <s v="PRD108"/>
    <x v="4"/>
    <x v="1"/>
    <n v="14"/>
    <n v="600"/>
    <n v="850"/>
    <n v="11900"/>
    <n v="8400"/>
    <n v="3500"/>
    <n v="0.29411764705882354"/>
    <x v="4"/>
    <s v="USSD"/>
  </r>
  <r>
    <s v="TXN-10041"/>
    <s v="21-Jan-2026"/>
    <x v="2"/>
    <s v="CUST2014"/>
    <s v="Uche Nwachukwu"/>
    <s v="Male"/>
    <x v="0"/>
    <s v="Rivers"/>
    <s v="PRD109"/>
    <x v="3"/>
    <x v="3"/>
    <n v="11"/>
    <n v="750"/>
    <n v="1100"/>
    <n v="12100"/>
    <n v="8250"/>
    <n v="3850"/>
    <n v="0.31818181818181818"/>
    <x v="0"/>
    <s v="POS"/>
  </r>
  <r>
    <s v="TXN-10042"/>
    <s v="14-Mar-2026"/>
    <x v="3"/>
    <s v="CUST2001"/>
    <s v="Amina Bello"/>
    <s v="Female"/>
    <x v="0"/>
    <s v="Lagos"/>
    <s v="PRD105"/>
    <x v="1"/>
    <x v="1"/>
    <n v="9"/>
    <n v="2200"/>
    <n v="2900"/>
    <n v="26100"/>
    <n v="19800"/>
    <n v="6300"/>
    <n v="0.2413793103448276"/>
    <x v="1"/>
    <s v="BANK TRANSFER"/>
  </r>
  <r>
    <s v="TXN-10043"/>
    <s v="16-Jun-2026"/>
    <x v="1"/>
    <s v="CUST2010"/>
    <s v="Blessing John"/>
    <s v="Female"/>
    <x v="0"/>
    <s v="Abuja"/>
    <s v="PRD103"/>
    <x v="0"/>
    <x v="0"/>
    <n v="5"/>
    <n v="1800"/>
    <n v="2400"/>
    <n v="12000"/>
    <n v="9000"/>
    <n v="3000"/>
    <n v="0.25"/>
    <x v="2"/>
    <s v="CASH"/>
  </r>
  <r>
    <s v="TXN-10044"/>
    <s v="18-Jan-2026"/>
    <x v="2"/>
    <s v="CUST2015"/>
    <s v="Hadiza Usman"/>
    <s v="Female"/>
    <x v="2"/>
    <s v="Kaduna"/>
    <s v="PRD108"/>
    <x v="4"/>
    <x v="1"/>
    <n v="7"/>
    <n v="600"/>
    <n v="850"/>
    <n v="5950"/>
    <n v="4200"/>
    <n v="1750"/>
    <n v="0.29411764705882354"/>
    <x v="3"/>
    <s v="USSD"/>
  </r>
  <r>
    <s v="TXN-10045"/>
    <s v="12-May-2026"/>
    <x v="4"/>
    <s v="CUST2008"/>
    <s v="Ibrahim Musa"/>
    <s v="Male"/>
    <x v="0"/>
    <s v="Kaduna"/>
    <s v="PRD106"/>
    <x v="8"/>
    <x v="5"/>
    <n v="25"/>
    <n v="300"/>
    <n v="450"/>
    <n v="11250"/>
    <n v="7500"/>
    <n v="3750"/>
    <n v="0.33333333333333331"/>
    <x v="4"/>
    <s v="POS"/>
  </r>
  <r>
    <s v="TXN-10046"/>
    <s v="30-Mar-2026"/>
    <x v="3"/>
    <s v="CUST2004"/>
    <s v="Emeka Nwosu"/>
    <s v="Male"/>
    <x v="1"/>
    <s v="Kano"/>
    <s v="PRD109"/>
    <x v="3"/>
    <x v="3"/>
    <n v="11"/>
    <n v="750"/>
    <n v="1100"/>
    <n v="12100"/>
    <n v="8250"/>
    <n v="3850"/>
    <n v="0.31818181818181818"/>
    <x v="0"/>
    <s v="BANK TRANSFER"/>
  </r>
  <r>
    <s v="TXN-10047"/>
    <s v="01-Mar-2026"/>
    <x v="3"/>
    <s v="CUST2014"/>
    <s v="Uche Nwachukwu"/>
    <s v="Male"/>
    <x v="0"/>
    <s v="Rivers"/>
    <s v="PRD101"/>
    <x v="9"/>
    <x v="3"/>
    <n v="4"/>
    <n v="250"/>
    <n v="350"/>
    <n v="1400"/>
    <n v="1000"/>
    <n v="400"/>
    <n v="0.2857142857142857"/>
    <x v="1"/>
    <s v="CASH"/>
  </r>
  <r>
    <s v="TXN-10048"/>
    <s v="14-Jan-2026"/>
    <x v="2"/>
    <s v="CUST2010"/>
    <s v="Blessing John"/>
    <s v="Female"/>
    <x v="0"/>
    <s v="Abuja"/>
    <s v="PRD101"/>
    <x v="9"/>
    <x v="3"/>
    <n v="3"/>
    <n v="250"/>
    <n v="350"/>
    <n v="1050"/>
    <n v="750"/>
    <n v="300"/>
    <n v="0.2857142857142857"/>
    <x v="2"/>
    <s v="USSD"/>
  </r>
  <r>
    <s v="TXN-10049"/>
    <s v="09-Jan-2026"/>
    <x v="2"/>
    <s v="CUST2012"/>
    <s v="Fatima Abubakar"/>
    <s v="Female"/>
    <x v="0"/>
    <s v="Kano"/>
    <s v="PRD104"/>
    <x v="7"/>
    <x v="6"/>
    <n v="13"/>
    <n v="850"/>
    <n v="1200"/>
    <n v="15600"/>
    <n v="11050"/>
    <n v="4550"/>
    <n v="0.29166666666666669"/>
    <x v="3"/>
    <s v="POS"/>
  </r>
  <r>
    <s v="TXN-10050"/>
    <s v="31-Mar-2026"/>
    <x v="3"/>
    <s v="CUST2002"/>
    <s v="Chidi Okeke"/>
    <s v="Male"/>
    <x v="2"/>
    <s v="Abuja"/>
    <s v="PRD107"/>
    <x v="2"/>
    <x v="2"/>
    <n v="4"/>
    <n v="6500"/>
    <n v="8500"/>
    <n v="34000"/>
    <n v="26000"/>
    <n v="8000"/>
    <n v="0.23529411764705882"/>
    <x v="4"/>
    <s v="BANK TRANSFER"/>
  </r>
  <r>
    <s v="TXN-10051"/>
    <s v="22-Feb-2026"/>
    <x v="5"/>
    <s v="CUST2001"/>
    <s v="Amina Bello"/>
    <s v="Female"/>
    <x v="0"/>
    <s v="Lagos"/>
    <s v="PRD103"/>
    <x v="0"/>
    <x v="0"/>
    <n v="12"/>
    <n v="1800"/>
    <n v="2400"/>
    <n v="28800"/>
    <n v="21600"/>
    <n v="7200"/>
    <n v="0.25"/>
    <x v="0"/>
    <s v="CASH"/>
  </r>
  <r>
    <s v="TXN-10052"/>
    <s v="10-May-2026"/>
    <x v="4"/>
    <s v="CUST2001"/>
    <s v="Amina Bello"/>
    <s v="Female"/>
    <x v="0"/>
    <s v="Lagos"/>
    <s v="PRD105"/>
    <x v="1"/>
    <x v="1"/>
    <n v="12"/>
    <n v="2200"/>
    <n v="2900"/>
    <n v="34800"/>
    <n v="26400"/>
    <n v="8400"/>
    <n v="0.2413793103448276"/>
    <x v="1"/>
    <s v="USSD"/>
  </r>
  <r>
    <s v="TXN-10053"/>
    <s v="25-Mar-2026"/>
    <x v="3"/>
    <s v="CUST2001"/>
    <s v="Amina Bello"/>
    <s v="Female"/>
    <x v="0"/>
    <s v="Lagos"/>
    <s v="PRD108"/>
    <x v="4"/>
    <x v="1"/>
    <n v="20"/>
    <n v="600"/>
    <n v="850"/>
    <n v="17000"/>
    <n v="12000"/>
    <n v="5000"/>
    <n v="0.29411764705882354"/>
    <x v="2"/>
    <s v="POS"/>
  </r>
  <r>
    <s v="TXN-10054"/>
    <s v="02-Apr-2026"/>
    <x v="0"/>
    <s v="CUST2002"/>
    <s v="Chidi Okeke"/>
    <s v="Male"/>
    <x v="2"/>
    <s v="Abuja"/>
    <s v="PRD101"/>
    <x v="9"/>
    <x v="3"/>
    <n v="9"/>
    <n v="250"/>
    <n v="350"/>
    <n v="3150"/>
    <n v="2250"/>
    <n v="900"/>
    <n v="0.2857142857142857"/>
    <x v="3"/>
    <s v="BANK TRANSFER"/>
  </r>
  <r>
    <s v="TXN-10055"/>
    <s v="21-Apr-2026"/>
    <x v="0"/>
    <s v="CUST2012"/>
    <s v="Fatima Abubakar"/>
    <s v="Female"/>
    <x v="0"/>
    <s v="Kano"/>
    <s v="PRD102"/>
    <x v="5"/>
    <x v="4"/>
    <n v="2"/>
    <n v="120"/>
    <n v="180"/>
    <n v="360"/>
    <n v="240"/>
    <n v="120"/>
    <n v="0.33333333333333331"/>
    <x v="4"/>
    <s v="CASH"/>
  </r>
  <r>
    <s v="TXN-10056"/>
    <s v="21-Jun-2026"/>
    <x v="1"/>
    <s v="CUST2007"/>
    <s v="Ngozi Eze"/>
    <s v="Female"/>
    <x v="0"/>
    <s v="Rivers"/>
    <s v="PRD106"/>
    <x v="8"/>
    <x v="5"/>
    <n v="24"/>
    <n v="300"/>
    <n v="450"/>
    <n v="10800"/>
    <n v="7200"/>
    <n v="3600"/>
    <n v="0.33333333333333331"/>
    <x v="0"/>
    <s v="USSD"/>
  </r>
  <r>
    <s v="TXN-10057"/>
    <s v="08-Jan-2026"/>
    <x v="2"/>
    <s v="CUST2001"/>
    <s v="Amina Bello"/>
    <s v="Female"/>
    <x v="0"/>
    <s v="Lagos"/>
    <s v="PRD105"/>
    <x v="1"/>
    <x v="1"/>
    <n v="15"/>
    <n v="2200"/>
    <n v="2900"/>
    <n v="43500"/>
    <n v="33000"/>
    <n v="10500"/>
    <n v="0.2413793103448276"/>
    <x v="1"/>
    <s v="POS"/>
  </r>
  <r>
    <s v="TXN-10058"/>
    <s v="24-Jun-2026"/>
    <x v="1"/>
    <s v="CUST2003"/>
    <s v="Funke Adebayo"/>
    <s v="Female"/>
    <x v="0"/>
    <s v="Rivers"/>
    <s v="PRD101"/>
    <x v="9"/>
    <x v="3"/>
    <n v="18"/>
    <n v="250"/>
    <n v="350"/>
    <n v="6300"/>
    <n v="4500"/>
    <n v="1800"/>
    <n v="0.2857142857142857"/>
    <x v="2"/>
    <s v="BANK TRANSFER"/>
  </r>
  <r>
    <s v="TXN-10059"/>
    <s v="04-Feb-2026"/>
    <x v="5"/>
    <s v="CUST2005"/>
    <s v="Zainab Ibrahim"/>
    <s v="Female"/>
    <x v="0"/>
    <s v="Lagos"/>
    <s v="PRD102"/>
    <x v="5"/>
    <x v="4"/>
    <n v="4"/>
    <n v="120"/>
    <n v="180"/>
    <n v="720"/>
    <n v="480"/>
    <n v="240"/>
    <n v="0.33333333333333331"/>
    <x v="3"/>
    <s v="CASH"/>
  </r>
  <r>
    <s v="TXN-10060"/>
    <s v="22-Mar-2026"/>
    <x v="3"/>
    <s v="CUST2006"/>
    <s v="Tunde Bakare"/>
    <s v="Male"/>
    <x v="2"/>
    <s v="Oyo"/>
    <s v="PRD110"/>
    <x v="6"/>
    <x v="5"/>
    <n v="13"/>
    <n v="450"/>
    <n v="650"/>
    <n v="8450"/>
    <n v="5850"/>
    <n v="2600"/>
    <n v="0.30769230769230771"/>
    <x v="4"/>
    <s v="USSD"/>
  </r>
  <r>
    <s v="TXN-10061"/>
    <s v="13-Jun-2026"/>
    <x v="1"/>
    <s v="CUST2004"/>
    <s v="Emeka Nwosu"/>
    <s v="Male"/>
    <x v="1"/>
    <s v="Kano"/>
    <s v="PRD107"/>
    <x v="2"/>
    <x v="2"/>
    <n v="3"/>
    <n v="6500"/>
    <n v="8500"/>
    <n v="25500"/>
    <n v="19500"/>
    <n v="6000"/>
    <n v="0.23529411764705882"/>
    <x v="0"/>
    <s v="POS"/>
  </r>
  <r>
    <s v="TXN-10062"/>
    <s v="19-Feb-2026"/>
    <x v="5"/>
    <s v="CUST2011"/>
    <s v="Kelechi Amadi"/>
    <s v="Male"/>
    <x v="2"/>
    <s v="Enugu"/>
    <s v="PRD107"/>
    <x v="2"/>
    <x v="2"/>
    <n v="18"/>
    <n v="6500"/>
    <n v="8500"/>
    <n v="153000"/>
    <n v="117000"/>
    <n v="36000"/>
    <n v="0.23529411764705882"/>
    <x v="1"/>
    <s v="BANK TRANSFER"/>
  </r>
  <r>
    <s v="TXN-10063"/>
    <s v="14-Apr-2026"/>
    <x v="0"/>
    <s v="CUST2011"/>
    <s v="Kelechi Amadi"/>
    <s v="Male"/>
    <x v="2"/>
    <s v="Enugu"/>
    <s v="PRD108"/>
    <x v="4"/>
    <x v="1"/>
    <n v="10"/>
    <n v="600"/>
    <n v="850"/>
    <n v="8500"/>
    <n v="6000"/>
    <n v="2500"/>
    <n v="0.29411764705882354"/>
    <x v="2"/>
    <s v="CASH"/>
  </r>
  <r>
    <s v="TXN-10064"/>
    <s v="12-May-2026"/>
    <x v="4"/>
    <s v="CUST2015"/>
    <s v="Hadiza Usman"/>
    <s v="Female"/>
    <x v="2"/>
    <s v="Kaduna"/>
    <s v="PRD101"/>
    <x v="9"/>
    <x v="3"/>
    <n v="21"/>
    <n v="250"/>
    <n v="350"/>
    <n v="7350"/>
    <n v="5250"/>
    <n v="2100"/>
    <n v="0.2857142857142857"/>
    <x v="3"/>
    <s v="USSD"/>
  </r>
  <r>
    <s v="TXN-10065"/>
    <s v="02-Jan-2026"/>
    <x v="2"/>
    <s v="CUST2008"/>
    <s v="Ibrahim Musa"/>
    <s v="Male"/>
    <x v="0"/>
    <s v="Kaduna"/>
    <s v="PRD106"/>
    <x v="8"/>
    <x v="5"/>
    <n v="20"/>
    <n v="300"/>
    <n v="450"/>
    <n v="9000"/>
    <n v="6000"/>
    <n v="3000"/>
    <n v="0.33333333333333331"/>
    <x v="4"/>
    <s v="POS"/>
  </r>
  <r>
    <s v="TXN-10066"/>
    <s v="14-May-2026"/>
    <x v="4"/>
    <s v="CUST2004"/>
    <s v="Emeka Nwosu"/>
    <s v="Male"/>
    <x v="1"/>
    <s v="Kano"/>
    <s v="PRD105"/>
    <x v="1"/>
    <x v="1"/>
    <n v="12"/>
    <n v="2200"/>
    <n v="2900"/>
    <n v="34800"/>
    <n v="26400"/>
    <n v="8400"/>
    <n v="0.2413793103448276"/>
    <x v="0"/>
    <s v="BANK TRANSFER"/>
  </r>
  <r>
    <s v="TXN-10067"/>
    <s v="23-Feb-2026"/>
    <x v="5"/>
    <s v="CUST2006"/>
    <s v="Tunde Bakare"/>
    <s v="Male"/>
    <x v="2"/>
    <s v="Oyo"/>
    <s v="PRD102"/>
    <x v="5"/>
    <x v="4"/>
    <n v="19"/>
    <n v="120"/>
    <n v="180"/>
    <n v="3420"/>
    <n v="2280"/>
    <n v="1140"/>
    <n v="0.33333333333333331"/>
    <x v="1"/>
    <s v="CASH"/>
  </r>
  <r>
    <s v="TXN-10068"/>
    <s v="16-Apr-2026"/>
    <x v="0"/>
    <s v="CUST2011"/>
    <s v="Kelechi Amadi"/>
    <s v="Male"/>
    <x v="2"/>
    <s v="Enugu"/>
    <s v="PRD106"/>
    <x v="8"/>
    <x v="5"/>
    <n v="7"/>
    <n v="300"/>
    <n v="450"/>
    <n v="3150"/>
    <n v="2100"/>
    <n v="1050"/>
    <n v="0.33333333333333331"/>
    <x v="2"/>
    <s v="USSD"/>
  </r>
  <r>
    <s v="TXN-10069"/>
    <s v="04-Jan-2026"/>
    <x v="2"/>
    <s v="CUST2009"/>
    <s v="Yinka Ogundipe"/>
    <s v="Male"/>
    <x v="1"/>
    <s v="Lagos"/>
    <s v="PRD101"/>
    <x v="9"/>
    <x v="3"/>
    <n v="23"/>
    <n v="250"/>
    <n v="350"/>
    <n v="8050"/>
    <n v="5750"/>
    <n v="2300"/>
    <n v="0.2857142857142857"/>
    <x v="3"/>
    <s v="POS"/>
  </r>
  <r>
    <s v="TXN-10070"/>
    <s v="23-Feb-2026"/>
    <x v="5"/>
    <s v="CUST2013"/>
    <s v="Seyi Oladipo"/>
    <s v="Male"/>
    <x v="1"/>
    <s v="Lagos"/>
    <s v="PRD106"/>
    <x v="8"/>
    <x v="5"/>
    <n v="3"/>
    <n v="300"/>
    <n v="450"/>
    <n v="1350"/>
    <n v="900"/>
    <n v="450"/>
    <n v="0.33333333333333331"/>
    <x v="4"/>
    <s v="BANK TRANSFER"/>
  </r>
  <r>
    <s v="TXN-10071"/>
    <s v="26-May-2026"/>
    <x v="4"/>
    <s v="CUST2004"/>
    <s v="Emeka Nwosu"/>
    <s v="Male"/>
    <x v="1"/>
    <s v="Kano"/>
    <s v="PRD103"/>
    <x v="0"/>
    <x v="0"/>
    <n v="2"/>
    <n v="1800"/>
    <n v="2400"/>
    <n v="4800"/>
    <n v="3600"/>
    <n v="1200"/>
    <n v="0.25"/>
    <x v="0"/>
    <s v="CASH"/>
  </r>
  <r>
    <s v="TXN-10072"/>
    <s v="13-Feb-2026"/>
    <x v="5"/>
    <s v="CUST2003"/>
    <s v="Funke Adebayo"/>
    <s v="Female"/>
    <x v="0"/>
    <s v="Rivers"/>
    <s v="PRD104"/>
    <x v="7"/>
    <x v="6"/>
    <n v="22"/>
    <n v="850"/>
    <n v="1200"/>
    <n v="26400"/>
    <n v="18700"/>
    <n v="7700"/>
    <n v="0.29166666666666669"/>
    <x v="1"/>
    <s v="USSD"/>
  </r>
  <r>
    <s v="TXN-10073"/>
    <s v="11-Jun-2026"/>
    <x v="1"/>
    <s v="CUST2003"/>
    <s v="Funke Adebayo"/>
    <s v="Female"/>
    <x v="0"/>
    <s v="Rivers"/>
    <s v="PRD110"/>
    <x v="6"/>
    <x v="5"/>
    <n v="8"/>
    <n v="450"/>
    <n v="650"/>
    <n v="5200"/>
    <n v="3600"/>
    <n v="1600"/>
    <n v="0.30769230769230771"/>
    <x v="2"/>
    <s v="POS"/>
  </r>
  <r>
    <s v="TXN-10074"/>
    <s v="14-Jan-2026"/>
    <x v="2"/>
    <s v="CUST2004"/>
    <s v="Emeka Nwosu"/>
    <s v="Male"/>
    <x v="1"/>
    <s v="Kano"/>
    <s v="PRD103"/>
    <x v="0"/>
    <x v="0"/>
    <n v="25"/>
    <n v="1800"/>
    <n v="2400"/>
    <n v="60000"/>
    <n v="45000"/>
    <n v="15000"/>
    <n v="0.25"/>
    <x v="3"/>
    <s v="BANK TRANSFER"/>
  </r>
  <r>
    <s v="TXN-10075"/>
    <s v="05-Apr-2026"/>
    <x v="0"/>
    <s v="CUST2004"/>
    <s v="Emeka Nwosu"/>
    <s v="Male"/>
    <x v="1"/>
    <s v="Kano"/>
    <s v="PRD107"/>
    <x v="2"/>
    <x v="2"/>
    <n v="10"/>
    <n v="6500"/>
    <n v="8500"/>
    <n v="85000"/>
    <n v="65000"/>
    <n v="20000"/>
    <n v="0.23529411764705882"/>
    <x v="4"/>
    <s v="CASH"/>
  </r>
  <r>
    <s v="TXN-10076"/>
    <s v="17-Feb-2026"/>
    <x v="5"/>
    <s v="CUST2001"/>
    <s v="Amina Bello"/>
    <s v="Female"/>
    <x v="0"/>
    <s v="Lagos"/>
    <s v="PRD109"/>
    <x v="3"/>
    <x v="3"/>
    <n v="3"/>
    <n v="750"/>
    <n v="1100"/>
    <n v="3300"/>
    <n v="2250"/>
    <n v="1050"/>
    <n v="0.31818181818181818"/>
    <x v="0"/>
    <s v="USSD"/>
  </r>
  <r>
    <s v="TXN-10077"/>
    <s v="15-Jan-2026"/>
    <x v="2"/>
    <s v="CUST2007"/>
    <s v="Ngozi Eze"/>
    <s v="Female"/>
    <x v="0"/>
    <s v="Rivers"/>
    <s v="PRD108"/>
    <x v="4"/>
    <x v="1"/>
    <n v="8"/>
    <n v="600"/>
    <n v="850"/>
    <n v="6800"/>
    <n v="4800"/>
    <n v="2000"/>
    <n v="0.29411764705882354"/>
    <x v="1"/>
    <s v="POS"/>
  </r>
  <r>
    <s v="TXN-10078"/>
    <s v="09-Feb-2026"/>
    <x v="5"/>
    <s v="CUST2008"/>
    <s v="Ibrahim Musa"/>
    <s v="Male"/>
    <x v="0"/>
    <s v="Kaduna"/>
    <s v="PRD102"/>
    <x v="5"/>
    <x v="4"/>
    <n v="4"/>
    <n v="120"/>
    <n v="180"/>
    <n v="720"/>
    <n v="480"/>
    <n v="240"/>
    <n v="0.33333333333333331"/>
    <x v="2"/>
    <s v="BANK TRANSFER"/>
  </r>
  <r>
    <s v="TXN-10079"/>
    <s v="23-Mar-2026"/>
    <x v="3"/>
    <s v="CUST2011"/>
    <s v="Kelechi Amadi"/>
    <s v="Male"/>
    <x v="2"/>
    <s v="Enugu"/>
    <s v="PRD101"/>
    <x v="9"/>
    <x v="3"/>
    <n v="13"/>
    <n v="250"/>
    <n v="350"/>
    <n v="4550"/>
    <n v="3250"/>
    <n v="1300"/>
    <n v="0.2857142857142857"/>
    <x v="3"/>
    <s v="CASH"/>
  </r>
  <r>
    <s v="TXN-10080"/>
    <s v="21-Apr-2026"/>
    <x v="0"/>
    <s v="CUST2009"/>
    <s v="Yinka Ogundipe"/>
    <s v="Male"/>
    <x v="1"/>
    <s v="Lagos"/>
    <s v="PRD109"/>
    <x v="3"/>
    <x v="3"/>
    <n v="9"/>
    <n v="750"/>
    <n v="1100"/>
    <n v="9900"/>
    <n v="6750"/>
    <n v="3150"/>
    <n v="0.31818181818181818"/>
    <x v="4"/>
    <s v="USSD"/>
  </r>
  <r>
    <s v="TXN-10081"/>
    <s v="22-Feb-2026"/>
    <x v="5"/>
    <s v="CUST2007"/>
    <s v="Ngozi Eze"/>
    <s v="Female"/>
    <x v="0"/>
    <s v="Rivers"/>
    <s v="PRD102"/>
    <x v="5"/>
    <x v="4"/>
    <n v="15"/>
    <n v="120"/>
    <n v="180"/>
    <n v="2700"/>
    <n v="1800"/>
    <n v="900"/>
    <n v="0.33333333333333331"/>
    <x v="0"/>
    <s v="POS"/>
  </r>
  <r>
    <s v="TXN-10082"/>
    <s v="24-Jan-2026"/>
    <x v="2"/>
    <s v="CUST2003"/>
    <s v="Funke Adebayo"/>
    <s v="Female"/>
    <x v="0"/>
    <s v="Rivers"/>
    <s v="PRD110"/>
    <x v="6"/>
    <x v="5"/>
    <n v="21"/>
    <n v="450"/>
    <n v="650"/>
    <n v="13650"/>
    <n v="9450"/>
    <n v="4200"/>
    <n v="0.30769230769230771"/>
    <x v="1"/>
    <s v="BANK TRANSFER"/>
  </r>
  <r>
    <s v="TXN-10083"/>
    <s v="03-Jun-2026"/>
    <x v="1"/>
    <s v="CUST2012"/>
    <s v="Fatima Abubakar"/>
    <s v="Female"/>
    <x v="0"/>
    <s v="Kano"/>
    <s v="PRD107"/>
    <x v="2"/>
    <x v="2"/>
    <n v="12"/>
    <n v="6500"/>
    <n v="8500"/>
    <n v="102000"/>
    <n v="78000"/>
    <n v="24000"/>
    <n v="0.23529411764705882"/>
    <x v="2"/>
    <s v="CASH"/>
  </r>
  <r>
    <s v="TXN-10084"/>
    <s v="04-May-2026"/>
    <x v="4"/>
    <s v="CUST2009"/>
    <s v="Yinka Ogundipe"/>
    <s v="Male"/>
    <x v="1"/>
    <s v="Lagos"/>
    <s v="PRD110"/>
    <x v="6"/>
    <x v="5"/>
    <n v="6"/>
    <n v="450"/>
    <n v="650"/>
    <n v="3900"/>
    <n v="2700"/>
    <n v="1200"/>
    <n v="0.30769230769230771"/>
    <x v="3"/>
    <s v="USSD"/>
  </r>
  <r>
    <s v="TXN-10085"/>
    <s v="10-Feb-2026"/>
    <x v="5"/>
    <s v="CUST2012"/>
    <s v="Fatima Abubakar"/>
    <s v="Female"/>
    <x v="0"/>
    <s v="Kano"/>
    <s v="PRD104"/>
    <x v="7"/>
    <x v="6"/>
    <n v="12"/>
    <n v="850"/>
    <n v="1200"/>
    <n v="14400"/>
    <n v="10200"/>
    <n v="4200"/>
    <n v="0.29166666666666669"/>
    <x v="4"/>
    <s v="POS"/>
  </r>
  <r>
    <s v="TXN-10086"/>
    <s v="06-Jun-2026"/>
    <x v="1"/>
    <s v="CUST2002"/>
    <s v="Chidi Okeke"/>
    <s v="Male"/>
    <x v="2"/>
    <s v="Abuja"/>
    <s v="PRD101"/>
    <x v="9"/>
    <x v="3"/>
    <n v="12"/>
    <n v="250"/>
    <n v="350"/>
    <n v="4200"/>
    <n v="3000"/>
    <n v="1200"/>
    <n v="0.2857142857142857"/>
    <x v="0"/>
    <s v="BANK TRANSFER"/>
  </r>
  <r>
    <s v="TXN-10087"/>
    <s v="15-Jan-2026"/>
    <x v="2"/>
    <s v="CUST2014"/>
    <s v="Uche Nwachukwu"/>
    <s v="Male"/>
    <x v="0"/>
    <s v="Rivers"/>
    <s v="PRD101"/>
    <x v="9"/>
    <x v="3"/>
    <n v="7"/>
    <n v="250"/>
    <n v="350"/>
    <n v="2450"/>
    <n v="1750"/>
    <n v="700"/>
    <n v="0.2857142857142857"/>
    <x v="1"/>
    <s v="CASH"/>
  </r>
  <r>
    <s v="TXN-10088"/>
    <s v="14-Feb-2026"/>
    <x v="5"/>
    <s v="CUST2005"/>
    <s v="Zainab Ibrahim"/>
    <s v="Female"/>
    <x v="0"/>
    <s v="Lagos"/>
    <s v="PRD105"/>
    <x v="1"/>
    <x v="1"/>
    <n v="22"/>
    <n v="2200"/>
    <n v="2900"/>
    <n v="63800"/>
    <n v="48400"/>
    <n v="15400"/>
    <n v="0.2413793103448276"/>
    <x v="2"/>
    <s v="USSD"/>
  </r>
  <r>
    <s v="TXN-10089"/>
    <s v="06-Mar-2026"/>
    <x v="3"/>
    <s v="CUST2009"/>
    <s v="Yinka Ogundipe"/>
    <s v="Male"/>
    <x v="1"/>
    <s v="Lagos"/>
    <s v="PRD107"/>
    <x v="2"/>
    <x v="2"/>
    <n v="9"/>
    <n v="6500"/>
    <n v="8500"/>
    <n v="76500"/>
    <n v="58500"/>
    <n v="18000"/>
    <n v="0.23529411764705882"/>
    <x v="3"/>
    <s v="POS"/>
  </r>
  <r>
    <s v="TXN-10090"/>
    <s v="30-Mar-2026"/>
    <x v="3"/>
    <s v="CUST2003"/>
    <s v="Funke Adebayo"/>
    <s v="Female"/>
    <x v="0"/>
    <s v="Rivers"/>
    <s v="PRD109"/>
    <x v="3"/>
    <x v="3"/>
    <n v="23"/>
    <n v="750"/>
    <n v="1100"/>
    <n v="25300"/>
    <n v="17250"/>
    <n v="8050"/>
    <n v="0.31818181818181818"/>
    <x v="4"/>
    <s v="BANK TRANSFER"/>
  </r>
  <r>
    <s v="TXN-10091"/>
    <s v="12-Mar-2026"/>
    <x v="3"/>
    <s v="CUST2003"/>
    <s v="Funke Adebayo"/>
    <s v="Female"/>
    <x v="0"/>
    <s v="Rivers"/>
    <s v="PRD103"/>
    <x v="0"/>
    <x v="0"/>
    <n v="22"/>
    <n v="1800"/>
    <n v="2400"/>
    <n v="52800"/>
    <n v="39600"/>
    <n v="13200"/>
    <n v="0.25"/>
    <x v="0"/>
    <s v="CASH"/>
  </r>
  <r>
    <s v="TXN-10092"/>
    <s v="09-Jan-2026"/>
    <x v="2"/>
    <s v="CUST2008"/>
    <s v="Ibrahim Musa"/>
    <s v="Male"/>
    <x v="0"/>
    <s v="Kaduna"/>
    <s v="PRD104"/>
    <x v="7"/>
    <x v="6"/>
    <n v="21"/>
    <n v="850"/>
    <n v="1200"/>
    <n v="25200"/>
    <n v="17850"/>
    <n v="7350"/>
    <n v="0.29166666666666669"/>
    <x v="1"/>
    <s v="USSD"/>
  </r>
  <r>
    <s v="TXN-10093"/>
    <s v="29-Mar-2026"/>
    <x v="3"/>
    <s v="CUST2008"/>
    <s v="Ibrahim Musa"/>
    <s v="Male"/>
    <x v="0"/>
    <s v="Kaduna"/>
    <s v="PRD106"/>
    <x v="8"/>
    <x v="5"/>
    <n v="3"/>
    <n v="300"/>
    <n v="450"/>
    <n v="1350"/>
    <n v="900"/>
    <n v="450"/>
    <n v="0.33333333333333331"/>
    <x v="2"/>
    <s v="POS"/>
  </r>
  <r>
    <s v="TXN-10094"/>
    <s v="09-May-2026"/>
    <x v="4"/>
    <s v="CUST2008"/>
    <s v="Ibrahim Musa"/>
    <s v="Male"/>
    <x v="0"/>
    <s v="Kaduna"/>
    <s v="PRD101"/>
    <x v="9"/>
    <x v="3"/>
    <n v="20"/>
    <n v="250"/>
    <n v="350"/>
    <n v="7000"/>
    <n v="5000"/>
    <n v="2000"/>
    <n v="0.2857142857142857"/>
    <x v="3"/>
    <s v="BANK TRANSFER"/>
  </r>
  <r>
    <s v="TXN-10095"/>
    <s v="16-May-2026"/>
    <x v="4"/>
    <s v="CUST2011"/>
    <s v="Kelechi Amadi"/>
    <s v="Male"/>
    <x v="2"/>
    <s v="Enugu"/>
    <s v="PRD104"/>
    <x v="7"/>
    <x v="6"/>
    <n v="21"/>
    <n v="850"/>
    <n v="1200"/>
    <n v="25200"/>
    <n v="17850"/>
    <n v="7350"/>
    <n v="0.29166666666666669"/>
    <x v="4"/>
    <s v="CASH"/>
  </r>
  <r>
    <s v="TXN-10096"/>
    <s v="04-Mar-2026"/>
    <x v="3"/>
    <s v="CUST2008"/>
    <s v="Ibrahim Musa"/>
    <s v="Male"/>
    <x v="0"/>
    <s v="Kaduna"/>
    <s v="PRD101"/>
    <x v="9"/>
    <x v="3"/>
    <n v="6"/>
    <n v="250"/>
    <n v="350"/>
    <n v="2100"/>
    <n v="1500"/>
    <n v="600"/>
    <n v="0.2857142857142857"/>
    <x v="0"/>
    <s v="USSD"/>
  </r>
  <r>
    <s v="TXN-10097"/>
    <s v="19-May-2026"/>
    <x v="4"/>
    <s v="CUST2006"/>
    <s v="Tunde Bakare"/>
    <s v="Male"/>
    <x v="2"/>
    <s v="Oyo"/>
    <s v="PRD104"/>
    <x v="7"/>
    <x v="6"/>
    <n v="18"/>
    <n v="850"/>
    <n v="1200"/>
    <n v="21600"/>
    <n v="15300"/>
    <n v="6300"/>
    <n v="0.29166666666666669"/>
    <x v="1"/>
    <s v="POS"/>
  </r>
  <r>
    <s v="TXN-10098"/>
    <s v="22-Mar-2026"/>
    <x v="3"/>
    <s v="CUST2004"/>
    <s v="Emeka Nwosu"/>
    <s v="Male"/>
    <x v="1"/>
    <s v="Kano"/>
    <s v="PRD108"/>
    <x v="4"/>
    <x v="1"/>
    <n v="24"/>
    <n v="600"/>
    <n v="850"/>
    <n v="20400"/>
    <n v="14400"/>
    <n v="6000"/>
    <n v="0.29411764705882354"/>
    <x v="2"/>
    <s v="BANK TRANSFER"/>
  </r>
  <r>
    <s v="TXN-10099"/>
    <s v="16-May-2026"/>
    <x v="4"/>
    <s v="CUST2014"/>
    <s v="Uche Nwachukwu"/>
    <s v="Male"/>
    <x v="0"/>
    <s v="Rivers"/>
    <s v="PRD103"/>
    <x v="0"/>
    <x v="0"/>
    <n v="8"/>
    <n v="1800"/>
    <n v="2400"/>
    <n v="19200"/>
    <n v="14400"/>
    <n v="4800"/>
    <n v="0.25"/>
    <x v="3"/>
    <s v="CASH"/>
  </r>
  <r>
    <s v="TXN-10100"/>
    <s v="12-Jun-2026"/>
    <x v="1"/>
    <s v="CUST2003"/>
    <s v="Funke Adebayo"/>
    <s v="Female"/>
    <x v="0"/>
    <s v="Rivers"/>
    <s v="PRD109"/>
    <x v="3"/>
    <x v="3"/>
    <n v="6"/>
    <n v="750"/>
    <n v="1100"/>
    <n v="6600"/>
    <n v="4500"/>
    <n v="2100"/>
    <n v="0.31818181818181818"/>
    <x v="4"/>
    <s v="US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65EAC5-0CE9-4A96-B5D2-A9591A103F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6:B47" firstHeaderRow="1" firstDataRow="1" firstDataCol="1"/>
  <pivotFields count="20">
    <pivotField showAll="0"/>
    <pivotField showAll="0"/>
    <pivotField showAll="0">
      <items count="7">
        <item x="2"/>
        <item x="5"/>
        <item x="3"/>
        <item x="0"/>
        <item x="4"/>
        <item x="1"/>
        <item t="default"/>
      </items>
    </pivotField>
    <pivotField showAll="0"/>
    <pivotField showAll="0"/>
    <pivotField showAll="0"/>
    <pivotField showAll="0">
      <items count="4">
        <item x="1"/>
        <item x="0"/>
        <item x="2"/>
        <item t="default"/>
      </items>
    </pivotField>
    <pivotField showAll="0"/>
    <pivotField showAll="0"/>
    <pivotField axis="axisRow" showAll="0" sortType="descending">
      <items count="11">
        <item x="0"/>
        <item x="1"/>
        <item x="6"/>
        <item x="4"/>
        <item x="8"/>
        <item x="9"/>
        <item x="7"/>
        <item x="5"/>
        <item x="3"/>
        <item x="2"/>
        <item t="default"/>
      </items>
      <autoSortScope>
        <pivotArea dataOnly="0" outline="0" fieldPosition="0">
          <references count="1">
            <reference field="4294967294" count="1" selected="0">
              <x v="0"/>
            </reference>
          </references>
        </pivotArea>
      </autoSortScope>
    </pivotField>
    <pivotField showAll="0">
      <items count="8">
        <item x="3"/>
        <item x="1"/>
        <item x="0"/>
        <item x="2"/>
        <item x="6"/>
        <item x="4"/>
        <item x="5"/>
        <item t="default"/>
      </items>
    </pivotField>
    <pivotField showAll="0"/>
    <pivotField numFmtId="164" showAll="0"/>
    <pivotField numFmtId="164" showAll="0"/>
    <pivotField dataField="1" numFmtId="164" showAll="0"/>
    <pivotField numFmtId="164" showAll="0"/>
    <pivotField numFmtId="164" showAll="0"/>
    <pivotField numFmtId="9" showAll="0"/>
    <pivotField showAll="0">
      <items count="6">
        <item x="1"/>
        <item x="4"/>
        <item x="3"/>
        <item x="0"/>
        <item x="2"/>
        <item t="default"/>
      </items>
    </pivotField>
    <pivotField showAll="0"/>
  </pivotFields>
  <rowFields count="1">
    <field x="9"/>
  </rowFields>
  <rowItems count="11">
    <i>
      <x v="9"/>
    </i>
    <i>
      <x/>
    </i>
    <i>
      <x v="1"/>
    </i>
    <i>
      <x v="6"/>
    </i>
    <i>
      <x v="8"/>
    </i>
    <i>
      <x v="3"/>
    </i>
    <i>
      <x v="5"/>
    </i>
    <i>
      <x v="4"/>
    </i>
    <i>
      <x v="2"/>
    </i>
    <i>
      <x v="7"/>
    </i>
    <i t="grand">
      <x/>
    </i>
  </rowItems>
  <colItems count="1">
    <i/>
  </colItems>
  <dataFields count="1">
    <dataField name="Sum of Total_Revenue_NGN" fld="14" baseField="0" baseItem="0" numFmtId="164"/>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D777F9-CB6C-42C2-861A-4F671D8FFBB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B34" firstHeaderRow="1" firstDataRow="1" firstDataCol="1"/>
  <pivotFields count="20">
    <pivotField showAll="0"/>
    <pivotField showAll="0"/>
    <pivotField axis="axisRow" showAll="0">
      <items count="7">
        <item x="2"/>
        <item x="5"/>
        <item x="3"/>
        <item x="0"/>
        <item x="4"/>
        <item x="1"/>
        <item t="default"/>
      </items>
    </pivotField>
    <pivotField showAll="0"/>
    <pivotField showAll="0"/>
    <pivotField showAll="0"/>
    <pivotField showAll="0">
      <items count="4">
        <item x="1"/>
        <item x="0"/>
        <item x="2"/>
        <item t="default"/>
      </items>
    </pivotField>
    <pivotField showAll="0"/>
    <pivotField showAll="0"/>
    <pivotField showAll="0"/>
    <pivotField showAll="0">
      <items count="8">
        <item x="3"/>
        <item x="1"/>
        <item x="0"/>
        <item x="2"/>
        <item x="6"/>
        <item x="4"/>
        <item x="5"/>
        <item t="default"/>
      </items>
    </pivotField>
    <pivotField showAll="0"/>
    <pivotField numFmtId="164" showAll="0"/>
    <pivotField numFmtId="164" showAll="0"/>
    <pivotField dataField="1" numFmtId="164" showAll="0"/>
    <pivotField numFmtId="164" showAll="0"/>
    <pivotField numFmtId="164" showAll="0"/>
    <pivotField numFmtId="9" showAll="0"/>
    <pivotField showAll="0">
      <items count="6">
        <item x="1"/>
        <item x="4"/>
        <item x="3"/>
        <item x="0"/>
        <item x="2"/>
        <item t="default"/>
      </items>
    </pivotField>
    <pivotField showAll="0"/>
  </pivotFields>
  <rowFields count="1">
    <field x="2"/>
  </rowFields>
  <rowItems count="7">
    <i>
      <x/>
    </i>
    <i>
      <x v="1"/>
    </i>
    <i>
      <x v="2"/>
    </i>
    <i>
      <x v="3"/>
    </i>
    <i>
      <x v="4"/>
    </i>
    <i>
      <x v="5"/>
    </i>
    <i t="grand">
      <x/>
    </i>
  </rowItems>
  <colItems count="1">
    <i/>
  </colItems>
  <dataFields count="1">
    <dataField name="Sum of Total_Revenue_NGN" fld="14" baseField="0" baseItem="0" numFmtId="164"/>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A8060A-BE35-4365-AF2A-EDABA8C74A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B25" firstHeaderRow="1" firstDataRow="1" firstDataCol="1"/>
  <pivotFields count="2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items count="8">
        <item x="3"/>
        <item x="1"/>
        <item x="0"/>
        <item x="2"/>
        <item x="6"/>
        <item x="4"/>
        <item x="5"/>
        <item t="default"/>
      </items>
    </pivotField>
    <pivotField showAll="0"/>
    <pivotField numFmtId="164" showAll="0"/>
    <pivotField numFmtId="164" showAll="0"/>
    <pivotField dataField="1" numFmtId="164" showAll="0"/>
    <pivotField numFmtId="164" showAll="0"/>
    <pivotField numFmtId="164" showAll="0"/>
    <pivotField numFmtId="9" showAll="0"/>
    <pivotField showAll="0">
      <items count="6">
        <item x="1"/>
        <item x="4"/>
        <item x="3"/>
        <item x="0"/>
        <item x="2"/>
        <item t="default"/>
      </items>
    </pivotField>
    <pivotField showAll="0"/>
  </pivotFields>
  <rowFields count="1">
    <field x="6"/>
  </rowFields>
  <rowItems count="4">
    <i>
      <x/>
    </i>
    <i>
      <x v="1"/>
    </i>
    <i>
      <x v="2"/>
    </i>
    <i t="grand">
      <x/>
    </i>
  </rowItems>
  <colItems count="1">
    <i/>
  </colItems>
  <dataFields count="1">
    <dataField name="Sum of Total_Revenue_NGN" fld="14" baseField="0" baseItem="0" numFmtId="164"/>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6" count="1" selected="0">
            <x v="0"/>
          </reference>
        </references>
      </pivotArea>
    </chartFormat>
    <chartFormat chart="3" format="14">
      <pivotArea type="data" outline="0" fieldPosition="0">
        <references count="2">
          <reference field="4294967294" count="1" selected="0">
            <x v="0"/>
          </reference>
          <reference field="6" count="1" selected="0">
            <x v="1"/>
          </reference>
        </references>
      </pivotArea>
    </chartFormat>
    <chartFormat chart="3" format="15">
      <pivotArea type="data" outline="0" fieldPosition="0">
        <references count="2">
          <reference field="4294967294" count="1" selected="0">
            <x v="0"/>
          </reference>
          <reference field="6"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6" count="1" selected="0">
            <x v="0"/>
          </reference>
        </references>
      </pivotArea>
    </chartFormat>
    <chartFormat chart="4" format="18">
      <pivotArea type="data" outline="0" fieldPosition="0">
        <references count="2">
          <reference field="4294967294" count="1" selected="0">
            <x v="0"/>
          </reference>
          <reference field="6" count="1" selected="0">
            <x v="1"/>
          </reference>
        </references>
      </pivotArea>
    </chartFormat>
    <chartFormat chart="4" format="1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D80905-1FC1-4E00-8072-7E4DC84A48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C19" firstHeaderRow="0" firstDataRow="1" firstDataCol="1"/>
  <pivotFields count="2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axis="axisRow" showAll="0">
      <items count="8">
        <item x="3"/>
        <item x="1"/>
        <item x="0"/>
        <item x="2"/>
        <item x="6"/>
        <item x="4"/>
        <item x="5"/>
        <item t="default"/>
      </items>
    </pivotField>
    <pivotField showAll="0"/>
    <pivotField numFmtId="164" showAll="0"/>
    <pivotField numFmtId="164" showAll="0"/>
    <pivotField dataField="1" numFmtId="164" showAll="0"/>
    <pivotField numFmtId="164" showAll="0"/>
    <pivotField dataField="1" numFmtId="164" showAll="0"/>
    <pivotField numFmtId="9" showAll="0"/>
    <pivotField showAll="0">
      <items count="6">
        <item x="1"/>
        <item x="4"/>
        <item x="3"/>
        <item x="0"/>
        <item x="2"/>
        <item t="default"/>
      </items>
    </pivotField>
    <pivotField showAll="0"/>
  </pivotFields>
  <rowFields count="1">
    <field x="10"/>
  </rowFields>
  <rowItems count="8">
    <i>
      <x/>
    </i>
    <i>
      <x v="1"/>
    </i>
    <i>
      <x v="2"/>
    </i>
    <i>
      <x v="3"/>
    </i>
    <i>
      <x v="4"/>
    </i>
    <i>
      <x v="5"/>
    </i>
    <i>
      <x v="6"/>
    </i>
    <i t="grand">
      <x/>
    </i>
  </rowItems>
  <colFields count="1">
    <field x="-2"/>
  </colFields>
  <colItems count="2">
    <i>
      <x/>
    </i>
    <i i="1">
      <x v="1"/>
    </i>
  </colItems>
  <dataFields count="2">
    <dataField name="Sum of Total_Revenue_NGN" fld="14" baseField="0" baseItem="0" numFmtId="164"/>
    <dataField name="Sum of Profit_NGN" fld="16" baseField="0" baseItem="0" numFmtId="16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2BDAE5-1712-47B5-B683-C42379F916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2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numFmtId="164" showAll="0"/>
    <pivotField numFmtId="164" showAll="0"/>
    <pivotField dataField="1" numFmtId="164" showAll="0"/>
    <pivotField numFmtId="164" showAll="0"/>
    <pivotField dataField="1" numFmtId="164" showAll="0"/>
    <pivotField numFmtId="9" showAll="0"/>
    <pivotField axis="axisRow" showAll="0">
      <items count="6">
        <item x="1"/>
        <item x="4"/>
        <item x="3"/>
        <item x="0"/>
        <item x="2"/>
        <item t="default"/>
      </items>
    </pivotField>
    <pivotField showAll="0"/>
  </pivotFields>
  <rowFields count="1">
    <field x="18"/>
  </rowFields>
  <rowItems count="6">
    <i>
      <x/>
    </i>
    <i>
      <x v="1"/>
    </i>
    <i>
      <x v="2"/>
    </i>
    <i>
      <x v="3"/>
    </i>
    <i>
      <x v="4"/>
    </i>
    <i t="grand">
      <x/>
    </i>
  </rowItems>
  <colFields count="1">
    <field x="-2"/>
  </colFields>
  <colItems count="2">
    <i>
      <x/>
    </i>
    <i i="1">
      <x v="1"/>
    </i>
  </colItems>
  <dataFields count="2">
    <dataField name="Sum of Total_Revenue_NGN" fld="14" baseField="0" baseItem="0" numFmtId="164"/>
    <dataField name="Sum of Profit_NGN" fld="16" baseField="0" baseItem="0" numFmtId="16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Branch" xr10:uid="{C0045B27-76EB-4613-BFF7-E581828E8ACE}" sourceName="Store_Branch">
  <pivotTables>
    <pivotTable tabId="10" name="PivotTable6"/>
    <pivotTable tabId="10" name="PivotTable1"/>
    <pivotTable tabId="10" name="PivotTable3"/>
    <pivotTable tabId="10" name="PivotTable4"/>
    <pivotTable tabId="10" name="PivotTable5"/>
  </pivotTables>
  <data>
    <tabular pivotCacheId="179521190">
      <items count="5">
        <i x="1" s="1"/>
        <i x="4"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B38B8F8-21B3-4678-8A5B-F3E14C2E1C59}" sourceName="Customer_Segment">
  <pivotTables>
    <pivotTable tabId="10" name="PivotTable1"/>
    <pivotTable tabId="10" name="PivotTable3"/>
    <pivotTable tabId="10" name="PivotTable4"/>
    <pivotTable tabId="10" name="PivotTable5"/>
    <pivotTable tabId="10" name="PivotTable6"/>
  </pivotTables>
  <data>
    <tabular pivotCacheId="17952119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Branch 1" xr10:uid="{976B1D90-B47D-45D6-B2AE-F8369C1655DA}" cache="Slicer_Store_Branch" caption="Store_Branch" columnCount="2" style="SlicerStyleLight3" rowHeight="241300"/>
  <slicer name="Customer_Segment 1" xr10:uid="{F026C6B8-BCF1-4A5F-AE86-684103537A7D}" cache="Slicer_Customer_Segment" caption="Customer_Segment" columnCount="2"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Branch" xr10:uid="{DFDC0B41-370D-4A46-8FDA-46166313F4F4}" cache="Slicer_Store_Branch" caption="Store_Branch" rowHeight="241300"/>
  <slicer name="Customer_Segment" xr10:uid="{20F8F8A5-7190-46E9-8202-5EF4771E8590}" cache="Slicer_Customer_Segment" caption="Customer_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D9BE58-5A3A-4BF2-9C7A-275124CFFA9F}" name="Table2" displayName="Table2" ref="A1:W101" totalsRowShown="0">
  <autoFilter ref="A1:W101" xr:uid="{AFD9BE58-5A3A-4BF2-9C7A-275124CFFA9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3F84FCD0-C5CE-4404-B9C5-A99E26B3B0E5}" name="Transaction_ID"/>
    <tableColumn id="2" xr3:uid="{6152A4A9-3649-4EEB-BD6B-9D81E9FC0E39}" name="Order_Date" dataDxfId="7"/>
    <tableColumn id="3" xr3:uid="{73CA2B2A-D68D-432C-B896-FA80DF1E4347}" name="Month" dataDxfId="6"/>
    <tableColumn id="4" xr3:uid="{87320958-DCD4-4826-846D-01F84E2A91A8}" name="Customer_ID"/>
    <tableColumn id="5" xr3:uid="{F78854B9-194E-4C07-B570-C3BDB5C2CD7C}" name="Customer_Name"/>
    <tableColumn id="6" xr3:uid="{2170ACE9-082F-4E86-A431-EBC447AABC46}" name="Gender"/>
    <tableColumn id="7" xr3:uid="{877CC565-769E-4164-9652-D17B32169C7A}" name="Customer_Segment"/>
    <tableColumn id="8" xr3:uid="{5DBE33CA-3FC4-4DFF-8CE8-9F56A424C0E1}" name="Location_State"/>
    <tableColumn id="9" xr3:uid="{041B9FFD-D2CF-49B1-81A1-51438F6EF9CA}" name="Product_ID"/>
    <tableColumn id="10" xr3:uid="{62D00FAC-466E-481F-88B5-222E5D0AEE06}" name="Product Name">
      <calculatedColumnFormula>VLOOKUP(I2,Product_Catalog!$A$1:$E$11,2,FALSE)</calculatedColumnFormula>
    </tableColumn>
    <tableColumn id="11" xr3:uid="{8A4DA9CE-92B9-4662-84B8-558EBB94D523}" name="Category"/>
    <tableColumn id="12" xr3:uid="{2460AA84-9CF6-4C42-B6F9-2E00241011AC}" name="Quantity_Sold"/>
    <tableColumn id="13" xr3:uid="{A577FA4E-4E22-4400-A14C-67FAC17A9511}" name="Unit_Cost_NGN" dataDxfId="5"/>
    <tableColumn id="14" xr3:uid="{EC131CAF-2D5B-40F8-8CBF-A7BAC2E096A8}" name="Unit_Price_NGN" dataDxfId="4"/>
    <tableColumn id="15" xr3:uid="{53A571FD-DA48-4BEC-A6B2-0FAB4EBBA8F9}" name="Total_Revenue_NGN" dataDxfId="3"/>
    <tableColumn id="16" xr3:uid="{0B028E06-A863-4091-8BED-0C66E64CAE66}" name="Total_Cost_NGN" dataDxfId="2"/>
    <tableColumn id="17" xr3:uid="{DFAC9E7F-FDA7-43A2-9B81-59EE640A56C5}" name="Profit_NGN" dataDxfId="1"/>
    <tableColumn id="18" xr3:uid="{374EDA94-0BF7-4280-AD76-2140CD080A2E}" name="Profit_Margin_Pct" dataDxfId="0"/>
    <tableColumn id="19" xr3:uid="{733DEFFA-CAC7-4BED-9420-2ED50DD3907A}" name="Store_Branch"/>
    <tableColumn id="20" xr3:uid="{D64C989F-A69C-42F2-84D2-AFCC765775D8}" name="Payment_Method"/>
    <tableColumn id="21" xr3:uid="{A8157278-7770-407E-82BA-11D9BFF80A7C}" name="Column1"/>
    <tableColumn id="22" xr3:uid="{36248CA0-DA74-464B-A622-9E4466E15DCF}" name="Column2"/>
    <tableColumn id="23" xr3:uid="{8C5620EA-B844-4C28-AA8C-941C4049CDC1}" name="Column3"/>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workbookViewId="0">
      <selection sqref="A1:N101"/>
    </sheetView>
  </sheetViews>
  <sheetFormatPr defaultRowHeight="14.5" x14ac:dyDescent="0.35"/>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15</v>
      </c>
      <c r="C2" t="s">
        <v>16</v>
      </c>
      <c r="D2" t="s">
        <v>17</v>
      </c>
      <c r="E2" t="s">
        <v>18</v>
      </c>
      <c r="F2">
        <v>21</v>
      </c>
      <c r="G2">
        <v>1800</v>
      </c>
      <c r="H2">
        <v>2400</v>
      </c>
      <c r="I2">
        <v>50400</v>
      </c>
      <c r="J2">
        <v>37800</v>
      </c>
      <c r="K2">
        <v>12600</v>
      </c>
      <c r="L2">
        <v>25</v>
      </c>
      <c r="M2" t="s">
        <v>19</v>
      </c>
      <c r="N2" t="s">
        <v>20</v>
      </c>
    </row>
    <row r="3" spans="1:14" x14ac:dyDescent="0.35">
      <c r="A3" t="s">
        <v>21</v>
      </c>
      <c r="B3" t="s">
        <v>22</v>
      </c>
      <c r="C3" t="s">
        <v>23</v>
      </c>
      <c r="D3" t="s">
        <v>24</v>
      </c>
      <c r="E3" t="s">
        <v>25</v>
      </c>
      <c r="F3">
        <v>4</v>
      </c>
      <c r="G3">
        <v>2200</v>
      </c>
      <c r="H3">
        <v>2900</v>
      </c>
      <c r="I3">
        <v>11600</v>
      </c>
      <c r="J3">
        <v>8800</v>
      </c>
      <c r="K3">
        <v>2800</v>
      </c>
      <c r="L3">
        <v>24.14</v>
      </c>
      <c r="M3" t="s">
        <v>26</v>
      </c>
      <c r="N3" t="s">
        <v>27</v>
      </c>
    </row>
    <row r="4" spans="1:14" x14ac:dyDescent="0.35">
      <c r="A4" t="s">
        <v>28</v>
      </c>
      <c r="B4" t="s">
        <v>29</v>
      </c>
      <c r="C4" t="s">
        <v>23</v>
      </c>
      <c r="D4" t="s">
        <v>24</v>
      </c>
      <c r="E4" t="s">
        <v>30</v>
      </c>
      <c r="F4">
        <v>1</v>
      </c>
      <c r="G4">
        <v>6500</v>
      </c>
      <c r="H4">
        <v>8500</v>
      </c>
      <c r="I4">
        <v>8500</v>
      </c>
      <c r="J4">
        <v>6500</v>
      </c>
      <c r="K4">
        <v>2000</v>
      </c>
      <c r="L4">
        <v>23.53</v>
      </c>
      <c r="M4" t="s">
        <v>31</v>
      </c>
      <c r="N4" t="s">
        <v>32</v>
      </c>
    </row>
    <row r="5" spans="1:14" x14ac:dyDescent="0.35">
      <c r="A5" t="s">
        <v>33</v>
      </c>
      <c r="B5" t="s">
        <v>34</v>
      </c>
      <c r="C5" t="s">
        <v>35</v>
      </c>
      <c r="D5" t="s">
        <v>24</v>
      </c>
      <c r="E5" t="s">
        <v>36</v>
      </c>
      <c r="F5">
        <v>24</v>
      </c>
      <c r="G5">
        <v>750</v>
      </c>
      <c r="H5">
        <v>1100</v>
      </c>
      <c r="I5">
        <v>26400</v>
      </c>
      <c r="J5">
        <v>18000</v>
      </c>
      <c r="K5">
        <v>8400</v>
      </c>
      <c r="L5">
        <v>31.82</v>
      </c>
      <c r="M5" t="s">
        <v>37</v>
      </c>
      <c r="N5" t="s">
        <v>38</v>
      </c>
    </row>
    <row r="6" spans="1:14" x14ac:dyDescent="0.35">
      <c r="A6" t="s">
        <v>39</v>
      </c>
      <c r="B6" t="s">
        <v>40</v>
      </c>
      <c r="C6" t="s">
        <v>41</v>
      </c>
      <c r="D6" t="s">
        <v>42</v>
      </c>
      <c r="E6" t="s">
        <v>30</v>
      </c>
      <c r="F6">
        <v>9</v>
      </c>
      <c r="G6">
        <v>6500</v>
      </c>
      <c r="H6">
        <v>8500</v>
      </c>
      <c r="I6">
        <v>76500</v>
      </c>
      <c r="J6">
        <v>58500</v>
      </c>
      <c r="K6">
        <v>18000</v>
      </c>
      <c r="L6">
        <v>23.53</v>
      </c>
      <c r="M6" t="s">
        <v>43</v>
      </c>
      <c r="N6" t="s">
        <v>44</v>
      </c>
    </row>
    <row r="7" spans="1:14" x14ac:dyDescent="0.35">
      <c r="A7" t="s">
        <v>45</v>
      </c>
      <c r="B7" t="s">
        <v>46</v>
      </c>
      <c r="C7" t="s">
        <v>35</v>
      </c>
      <c r="D7" t="s">
        <v>24</v>
      </c>
      <c r="E7" t="s">
        <v>47</v>
      </c>
      <c r="F7">
        <v>8</v>
      </c>
      <c r="G7">
        <v>600</v>
      </c>
      <c r="H7">
        <v>850</v>
      </c>
      <c r="I7">
        <v>6800</v>
      </c>
      <c r="J7">
        <v>4800</v>
      </c>
      <c r="K7">
        <v>2000</v>
      </c>
      <c r="L7">
        <v>29.41</v>
      </c>
      <c r="M7" t="s">
        <v>48</v>
      </c>
      <c r="N7" t="s">
        <v>27</v>
      </c>
    </row>
    <row r="8" spans="1:14" x14ac:dyDescent="0.35">
      <c r="A8" t="s">
        <v>49</v>
      </c>
      <c r="B8" t="s">
        <v>50</v>
      </c>
      <c r="C8" t="s">
        <v>16</v>
      </c>
      <c r="D8" t="s">
        <v>24</v>
      </c>
      <c r="E8" t="s">
        <v>51</v>
      </c>
      <c r="F8">
        <v>8</v>
      </c>
      <c r="G8">
        <v>120</v>
      </c>
      <c r="H8">
        <v>180</v>
      </c>
      <c r="I8">
        <v>1440</v>
      </c>
      <c r="J8">
        <v>960</v>
      </c>
      <c r="K8">
        <v>480</v>
      </c>
      <c r="L8">
        <v>33.33</v>
      </c>
      <c r="M8" t="s">
        <v>26</v>
      </c>
      <c r="N8" t="s">
        <v>32</v>
      </c>
    </row>
    <row r="9" spans="1:14" x14ac:dyDescent="0.35">
      <c r="A9" t="s">
        <v>52</v>
      </c>
      <c r="B9" t="s">
        <v>15</v>
      </c>
      <c r="C9" t="s">
        <v>53</v>
      </c>
      <c r="D9" t="s">
        <v>24</v>
      </c>
      <c r="E9" t="s">
        <v>30</v>
      </c>
      <c r="F9">
        <v>5</v>
      </c>
      <c r="G9">
        <v>6500</v>
      </c>
      <c r="H9">
        <v>8500</v>
      </c>
      <c r="I9">
        <v>42500</v>
      </c>
      <c r="J9">
        <v>32500</v>
      </c>
      <c r="K9">
        <v>10000</v>
      </c>
      <c r="L9">
        <v>23.53</v>
      </c>
      <c r="M9" t="s">
        <v>54</v>
      </c>
      <c r="N9" t="s">
        <v>38</v>
      </c>
    </row>
    <row r="10" spans="1:14" x14ac:dyDescent="0.35">
      <c r="A10" t="s">
        <v>55</v>
      </c>
      <c r="B10" t="s">
        <v>56</v>
      </c>
      <c r="C10" t="s">
        <v>57</v>
      </c>
      <c r="D10" t="s">
        <v>24</v>
      </c>
      <c r="E10" t="s">
        <v>47</v>
      </c>
      <c r="F10">
        <v>24</v>
      </c>
      <c r="G10">
        <v>600</v>
      </c>
      <c r="H10">
        <v>850</v>
      </c>
      <c r="I10">
        <v>20400</v>
      </c>
      <c r="J10">
        <v>14400</v>
      </c>
      <c r="K10">
        <v>6000</v>
      </c>
      <c r="L10">
        <v>29.41</v>
      </c>
      <c r="M10" t="s">
        <v>37</v>
      </c>
      <c r="N10" t="s">
        <v>44</v>
      </c>
    </row>
    <row r="11" spans="1:14" x14ac:dyDescent="0.35">
      <c r="A11" t="s">
        <v>58</v>
      </c>
      <c r="B11" t="s">
        <v>59</v>
      </c>
      <c r="C11" t="s">
        <v>35</v>
      </c>
      <c r="D11" t="s">
        <v>24</v>
      </c>
      <c r="E11" t="s">
        <v>18</v>
      </c>
      <c r="F11">
        <v>4</v>
      </c>
      <c r="G11">
        <v>1800</v>
      </c>
      <c r="H11">
        <v>2400</v>
      </c>
      <c r="I11">
        <v>9600</v>
      </c>
      <c r="J11">
        <v>7200</v>
      </c>
      <c r="K11">
        <v>2400</v>
      </c>
      <c r="L11">
        <v>25</v>
      </c>
      <c r="M11" t="s">
        <v>43</v>
      </c>
      <c r="N11" t="s">
        <v>60</v>
      </c>
    </row>
    <row r="12" spans="1:14" x14ac:dyDescent="0.35">
      <c r="A12" t="s">
        <v>61</v>
      </c>
      <c r="B12" t="s">
        <v>62</v>
      </c>
      <c r="C12" t="s">
        <v>63</v>
      </c>
      <c r="D12" t="s">
        <v>42</v>
      </c>
      <c r="E12" t="s">
        <v>47</v>
      </c>
      <c r="F12">
        <v>22</v>
      </c>
      <c r="G12">
        <v>600</v>
      </c>
      <c r="H12">
        <v>850</v>
      </c>
      <c r="I12">
        <v>18700</v>
      </c>
      <c r="J12">
        <v>13200</v>
      </c>
      <c r="K12">
        <v>5500</v>
      </c>
      <c r="L12">
        <v>29.41</v>
      </c>
      <c r="M12" t="s">
        <v>48</v>
      </c>
      <c r="N12" t="s">
        <v>32</v>
      </c>
    </row>
    <row r="13" spans="1:14" x14ac:dyDescent="0.35">
      <c r="A13" t="s">
        <v>64</v>
      </c>
      <c r="B13" t="s">
        <v>65</v>
      </c>
      <c r="C13" t="s">
        <v>16</v>
      </c>
      <c r="D13" t="s">
        <v>24</v>
      </c>
      <c r="E13" t="s">
        <v>18</v>
      </c>
      <c r="F13">
        <v>24</v>
      </c>
      <c r="G13">
        <v>1800</v>
      </c>
      <c r="H13">
        <v>2400</v>
      </c>
      <c r="I13">
        <v>57600</v>
      </c>
      <c r="J13">
        <v>43200</v>
      </c>
      <c r="K13">
        <v>14400</v>
      </c>
      <c r="L13">
        <v>25</v>
      </c>
      <c r="M13" t="s">
        <v>66</v>
      </c>
      <c r="N13" t="s">
        <v>38</v>
      </c>
    </row>
    <row r="14" spans="1:14" x14ac:dyDescent="0.35">
      <c r="A14" t="s">
        <v>67</v>
      </c>
      <c r="B14" t="s">
        <v>68</v>
      </c>
      <c r="C14" t="s">
        <v>57</v>
      </c>
      <c r="D14" t="s">
        <v>24</v>
      </c>
      <c r="E14" t="s">
        <v>18</v>
      </c>
      <c r="F14">
        <v>18</v>
      </c>
      <c r="G14">
        <v>1800</v>
      </c>
      <c r="H14">
        <v>2400</v>
      </c>
      <c r="I14">
        <v>43200</v>
      </c>
      <c r="J14">
        <v>32400</v>
      </c>
      <c r="K14">
        <v>10800</v>
      </c>
      <c r="L14">
        <v>25</v>
      </c>
      <c r="M14" t="s">
        <v>31</v>
      </c>
      <c r="N14" t="s">
        <v>44</v>
      </c>
    </row>
    <row r="15" spans="1:14" x14ac:dyDescent="0.35">
      <c r="A15" t="s">
        <v>69</v>
      </c>
      <c r="B15" t="s">
        <v>70</v>
      </c>
      <c r="C15" t="s">
        <v>16</v>
      </c>
      <c r="D15" t="s">
        <v>17</v>
      </c>
      <c r="E15" t="s">
        <v>18</v>
      </c>
      <c r="F15">
        <v>3</v>
      </c>
      <c r="G15">
        <v>1800</v>
      </c>
      <c r="H15">
        <v>2400</v>
      </c>
      <c r="I15">
        <v>7200</v>
      </c>
      <c r="J15">
        <v>5400</v>
      </c>
      <c r="K15">
        <v>1800</v>
      </c>
      <c r="L15">
        <v>25</v>
      </c>
      <c r="M15" t="s">
        <v>37</v>
      </c>
      <c r="N15" t="s">
        <v>27</v>
      </c>
    </row>
    <row r="16" spans="1:14" x14ac:dyDescent="0.35">
      <c r="A16" t="s">
        <v>71</v>
      </c>
      <c r="B16" t="s">
        <v>72</v>
      </c>
      <c r="C16" t="s">
        <v>23</v>
      </c>
      <c r="D16" t="s">
        <v>24</v>
      </c>
      <c r="E16" t="s">
        <v>25</v>
      </c>
      <c r="F16">
        <v>19</v>
      </c>
      <c r="G16">
        <v>2200</v>
      </c>
      <c r="H16">
        <v>2900</v>
      </c>
      <c r="I16">
        <v>55100</v>
      </c>
      <c r="J16">
        <v>41800</v>
      </c>
      <c r="K16">
        <v>13300</v>
      </c>
      <c r="L16">
        <v>24.14</v>
      </c>
      <c r="M16" t="s">
        <v>73</v>
      </c>
      <c r="N16" t="s">
        <v>32</v>
      </c>
    </row>
    <row r="17" spans="1:14" x14ac:dyDescent="0.35">
      <c r="A17" t="s">
        <v>74</v>
      </c>
      <c r="B17" t="s">
        <v>75</v>
      </c>
      <c r="C17" t="s">
        <v>76</v>
      </c>
      <c r="D17" t="s">
        <v>24</v>
      </c>
      <c r="E17" t="s">
        <v>30</v>
      </c>
      <c r="F17">
        <v>14</v>
      </c>
      <c r="G17">
        <v>6500</v>
      </c>
      <c r="H17">
        <v>8500</v>
      </c>
      <c r="I17">
        <v>119000</v>
      </c>
      <c r="J17">
        <v>91000</v>
      </c>
      <c r="K17">
        <v>28000</v>
      </c>
      <c r="L17">
        <v>23.53</v>
      </c>
      <c r="M17" t="s">
        <v>48</v>
      </c>
      <c r="N17" t="s">
        <v>38</v>
      </c>
    </row>
    <row r="18" spans="1:14" x14ac:dyDescent="0.35">
      <c r="A18" t="s">
        <v>77</v>
      </c>
      <c r="B18" t="s">
        <v>78</v>
      </c>
      <c r="C18" t="s">
        <v>79</v>
      </c>
      <c r="D18" t="s">
        <v>42</v>
      </c>
      <c r="E18" t="s">
        <v>30</v>
      </c>
      <c r="F18">
        <v>2</v>
      </c>
      <c r="G18">
        <v>6500</v>
      </c>
      <c r="H18">
        <v>8500</v>
      </c>
      <c r="I18">
        <v>17000</v>
      </c>
      <c r="J18">
        <v>13000</v>
      </c>
      <c r="K18">
        <v>4000</v>
      </c>
      <c r="L18">
        <v>23.53</v>
      </c>
      <c r="M18" t="s">
        <v>26</v>
      </c>
      <c r="N18" t="s">
        <v>44</v>
      </c>
    </row>
    <row r="19" spans="1:14" x14ac:dyDescent="0.35">
      <c r="A19" t="s">
        <v>80</v>
      </c>
      <c r="B19" t="s">
        <v>81</v>
      </c>
      <c r="C19" t="s">
        <v>76</v>
      </c>
      <c r="D19" t="s">
        <v>82</v>
      </c>
      <c r="E19" t="s">
        <v>36</v>
      </c>
      <c r="F19">
        <v>1</v>
      </c>
      <c r="G19">
        <v>750</v>
      </c>
      <c r="H19">
        <v>1100</v>
      </c>
      <c r="I19">
        <v>1100</v>
      </c>
      <c r="J19">
        <v>750</v>
      </c>
      <c r="K19">
        <v>350</v>
      </c>
      <c r="L19">
        <v>31.82</v>
      </c>
      <c r="M19" t="s">
        <v>31</v>
      </c>
      <c r="N19" t="s">
        <v>27</v>
      </c>
    </row>
    <row r="20" spans="1:14" x14ac:dyDescent="0.35">
      <c r="A20" t="s">
        <v>83</v>
      </c>
      <c r="B20" t="s">
        <v>84</v>
      </c>
      <c r="C20" t="s">
        <v>23</v>
      </c>
      <c r="D20" t="s">
        <v>24</v>
      </c>
      <c r="E20" t="s">
        <v>85</v>
      </c>
      <c r="F20">
        <v>3</v>
      </c>
      <c r="G20">
        <v>450</v>
      </c>
      <c r="H20">
        <v>650</v>
      </c>
      <c r="I20">
        <v>1950</v>
      </c>
      <c r="J20">
        <v>1350</v>
      </c>
      <c r="K20">
        <v>600</v>
      </c>
      <c r="L20">
        <v>30.77</v>
      </c>
      <c r="M20" t="s">
        <v>37</v>
      </c>
      <c r="N20" t="s">
        <v>86</v>
      </c>
    </row>
    <row r="21" spans="1:14" x14ac:dyDescent="0.35">
      <c r="A21" t="s">
        <v>87</v>
      </c>
      <c r="B21" t="s">
        <v>62</v>
      </c>
      <c r="C21" t="s">
        <v>76</v>
      </c>
      <c r="D21" t="s">
        <v>24</v>
      </c>
      <c r="E21" t="s">
        <v>18</v>
      </c>
      <c r="F21">
        <v>7</v>
      </c>
      <c r="G21">
        <v>1800</v>
      </c>
      <c r="H21">
        <v>2400</v>
      </c>
      <c r="I21">
        <v>16800</v>
      </c>
      <c r="J21">
        <v>12600</v>
      </c>
      <c r="K21">
        <v>4200</v>
      </c>
      <c r="L21">
        <v>25</v>
      </c>
      <c r="M21" t="s">
        <v>43</v>
      </c>
      <c r="N21" t="s">
        <v>38</v>
      </c>
    </row>
    <row r="22" spans="1:14" x14ac:dyDescent="0.35">
      <c r="A22" t="s">
        <v>88</v>
      </c>
      <c r="B22" t="s">
        <v>89</v>
      </c>
      <c r="C22" t="s">
        <v>16</v>
      </c>
      <c r="D22" t="s">
        <v>24</v>
      </c>
      <c r="E22" t="s">
        <v>30</v>
      </c>
      <c r="F22">
        <v>8</v>
      </c>
      <c r="G22">
        <v>6500</v>
      </c>
      <c r="H22">
        <v>8500</v>
      </c>
      <c r="I22">
        <v>68000</v>
      </c>
      <c r="J22">
        <v>52000</v>
      </c>
      <c r="K22">
        <v>16000</v>
      </c>
      <c r="L22">
        <v>23.53</v>
      </c>
      <c r="M22" t="s">
        <v>48</v>
      </c>
      <c r="N22" t="s">
        <v>44</v>
      </c>
    </row>
    <row r="23" spans="1:14" x14ac:dyDescent="0.35">
      <c r="A23" t="s">
        <v>90</v>
      </c>
      <c r="B23" t="s">
        <v>91</v>
      </c>
      <c r="C23" t="s">
        <v>92</v>
      </c>
      <c r="D23" t="s">
        <v>42</v>
      </c>
      <c r="E23" t="s">
        <v>93</v>
      </c>
      <c r="F23">
        <v>17</v>
      </c>
      <c r="G23">
        <v>850</v>
      </c>
      <c r="H23">
        <v>1200</v>
      </c>
      <c r="I23">
        <v>20400</v>
      </c>
      <c r="J23">
        <v>14450</v>
      </c>
      <c r="K23">
        <v>5950</v>
      </c>
      <c r="L23">
        <v>29.17</v>
      </c>
      <c r="M23" t="s">
        <v>94</v>
      </c>
      <c r="N23" t="s">
        <v>27</v>
      </c>
    </row>
    <row r="24" spans="1:14" x14ac:dyDescent="0.35">
      <c r="A24" t="s">
        <v>95</v>
      </c>
      <c r="B24" t="s">
        <v>96</v>
      </c>
      <c r="C24" t="s">
        <v>97</v>
      </c>
      <c r="D24" t="s">
        <v>42</v>
      </c>
      <c r="E24" t="s">
        <v>93</v>
      </c>
      <c r="F24">
        <v>20</v>
      </c>
      <c r="G24">
        <v>850</v>
      </c>
      <c r="H24">
        <v>1200</v>
      </c>
      <c r="I24">
        <v>24000</v>
      </c>
      <c r="J24">
        <v>17000</v>
      </c>
      <c r="K24">
        <v>7000</v>
      </c>
      <c r="L24">
        <v>29.17</v>
      </c>
      <c r="M24" t="s">
        <v>98</v>
      </c>
      <c r="N24" t="s">
        <v>32</v>
      </c>
    </row>
    <row r="25" spans="1:14" x14ac:dyDescent="0.35">
      <c r="A25" t="s">
        <v>99</v>
      </c>
      <c r="B25" t="s">
        <v>50</v>
      </c>
      <c r="C25" t="s">
        <v>53</v>
      </c>
      <c r="D25" t="s">
        <v>24</v>
      </c>
      <c r="E25" t="s">
        <v>25</v>
      </c>
      <c r="F25">
        <v>1</v>
      </c>
      <c r="G25">
        <v>2200</v>
      </c>
      <c r="H25">
        <v>2900</v>
      </c>
      <c r="I25">
        <v>2900</v>
      </c>
      <c r="J25">
        <v>2200</v>
      </c>
      <c r="K25">
        <v>700</v>
      </c>
      <c r="L25">
        <v>24.14</v>
      </c>
      <c r="M25" t="s">
        <v>37</v>
      </c>
      <c r="N25" t="s">
        <v>38</v>
      </c>
    </row>
    <row r="26" spans="1:14" x14ac:dyDescent="0.35">
      <c r="A26" t="s">
        <v>100</v>
      </c>
      <c r="B26" t="s">
        <v>101</v>
      </c>
      <c r="C26" t="s">
        <v>92</v>
      </c>
      <c r="D26" t="s">
        <v>42</v>
      </c>
      <c r="E26" t="s">
        <v>30</v>
      </c>
      <c r="F26">
        <v>18</v>
      </c>
      <c r="G26">
        <v>6500</v>
      </c>
      <c r="H26">
        <v>8500</v>
      </c>
      <c r="I26">
        <v>153000</v>
      </c>
      <c r="J26">
        <v>117000</v>
      </c>
      <c r="K26">
        <v>36000</v>
      </c>
      <c r="L26">
        <v>23.53</v>
      </c>
      <c r="M26" t="s">
        <v>43</v>
      </c>
      <c r="N26" t="s">
        <v>44</v>
      </c>
    </row>
    <row r="27" spans="1:14" x14ac:dyDescent="0.35">
      <c r="A27" t="s">
        <v>102</v>
      </c>
      <c r="B27" t="s">
        <v>103</v>
      </c>
      <c r="C27" t="s">
        <v>92</v>
      </c>
      <c r="D27" t="s">
        <v>42</v>
      </c>
      <c r="E27" t="s">
        <v>93</v>
      </c>
      <c r="F27">
        <v>7</v>
      </c>
      <c r="G27">
        <v>850</v>
      </c>
      <c r="H27">
        <v>1200</v>
      </c>
      <c r="I27">
        <v>8400</v>
      </c>
      <c r="J27">
        <v>5950</v>
      </c>
      <c r="K27">
        <v>2450</v>
      </c>
      <c r="L27">
        <v>29.17</v>
      </c>
      <c r="M27" t="s">
        <v>48</v>
      </c>
      <c r="N27" t="s">
        <v>27</v>
      </c>
    </row>
    <row r="28" spans="1:14" x14ac:dyDescent="0.35">
      <c r="A28" t="s">
        <v>104</v>
      </c>
      <c r="B28" t="s">
        <v>105</v>
      </c>
      <c r="C28" t="s">
        <v>79</v>
      </c>
      <c r="D28" t="s">
        <v>106</v>
      </c>
      <c r="E28" t="s">
        <v>30</v>
      </c>
      <c r="F28">
        <v>23</v>
      </c>
      <c r="G28">
        <v>6500</v>
      </c>
      <c r="H28">
        <v>8500</v>
      </c>
      <c r="I28">
        <v>195500</v>
      </c>
      <c r="J28">
        <v>149500</v>
      </c>
      <c r="K28">
        <v>46000</v>
      </c>
      <c r="L28">
        <v>23.53</v>
      </c>
      <c r="M28" t="s">
        <v>26</v>
      </c>
      <c r="N28" t="s">
        <v>32</v>
      </c>
    </row>
    <row r="29" spans="1:14" x14ac:dyDescent="0.35">
      <c r="A29" t="s">
        <v>107</v>
      </c>
      <c r="B29" t="s">
        <v>108</v>
      </c>
      <c r="C29" t="s">
        <v>63</v>
      </c>
      <c r="D29" t="s">
        <v>42</v>
      </c>
      <c r="E29" t="s">
        <v>18</v>
      </c>
      <c r="F29">
        <v>21</v>
      </c>
      <c r="G29">
        <v>1800</v>
      </c>
      <c r="H29">
        <v>2400</v>
      </c>
      <c r="I29">
        <v>50400</v>
      </c>
      <c r="J29">
        <v>37800</v>
      </c>
      <c r="K29">
        <v>12600</v>
      </c>
      <c r="L29">
        <v>25</v>
      </c>
      <c r="M29" t="s">
        <v>31</v>
      </c>
      <c r="N29" t="s">
        <v>109</v>
      </c>
    </row>
    <row r="30" spans="1:14" x14ac:dyDescent="0.35">
      <c r="A30" t="s">
        <v>110</v>
      </c>
      <c r="B30" t="s">
        <v>111</v>
      </c>
      <c r="C30" t="s">
        <v>23</v>
      </c>
      <c r="D30" t="s">
        <v>24</v>
      </c>
      <c r="E30" t="s">
        <v>51</v>
      </c>
      <c r="F30">
        <v>23</v>
      </c>
      <c r="G30">
        <v>120</v>
      </c>
      <c r="H30">
        <v>180</v>
      </c>
      <c r="I30">
        <v>4140</v>
      </c>
      <c r="J30">
        <v>2760</v>
      </c>
      <c r="K30">
        <v>1380</v>
      </c>
      <c r="L30">
        <v>33.33</v>
      </c>
      <c r="M30" t="s">
        <v>112</v>
      </c>
      <c r="N30" t="s">
        <v>44</v>
      </c>
    </row>
    <row r="31" spans="1:14" x14ac:dyDescent="0.35">
      <c r="A31" t="s">
        <v>113</v>
      </c>
      <c r="B31" t="s">
        <v>114</v>
      </c>
      <c r="C31" t="s">
        <v>57</v>
      </c>
      <c r="D31" t="s">
        <v>24</v>
      </c>
      <c r="E31" t="s">
        <v>36</v>
      </c>
      <c r="F31">
        <v>18</v>
      </c>
      <c r="G31">
        <v>750</v>
      </c>
      <c r="H31">
        <v>1100</v>
      </c>
      <c r="I31">
        <v>19800</v>
      </c>
      <c r="J31">
        <v>13500</v>
      </c>
      <c r="K31">
        <v>6300</v>
      </c>
      <c r="L31">
        <v>31.82</v>
      </c>
      <c r="M31" t="s">
        <v>43</v>
      </c>
      <c r="N31" t="s">
        <v>27</v>
      </c>
    </row>
    <row r="32" spans="1:14" x14ac:dyDescent="0.35">
      <c r="A32" t="s">
        <v>115</v>
      </c>
      <c r="B32" t="s">
        <v>116</v>
      </c>
      <c r="C32" t="s">
        <v>35</v>
      </c>
      <c r="D32" t="s">
        <v>24</v>
      </c>
      <c r="E32" t="s">
        <v>117</v>
      </c>
      <c r="F32">
        <v>14</v>
      </c>
      <c r="G32">
        <v>300</v>
      </c>
      <c r="H32">
        <v>450</v>
      </c>
      <c r="I32">
        <v>6300</v>
      </c>
      <c r="J32">
        <v>4200</v>
      </c>
      <c r="K32">
        <v>2100</v>
      </c>
      <c r="L32">
        <v>33.33</v>
      </c>
      <c r="M32" t="s">
        <v>48</v>
      </c>
      <c r="N32" t="s">
        <v>32</v>
      </c>
    </row>
    <row r="33" spans="1:14" x14ac:dyDescent="0.35">
      <c r="A33" t="s">
        <v>118</v>
      </c>
      <c r="B33" t="s">
        <v>34</v>
      </c>
      <c r="C33" t="s">
        <v>97</v>
      </c>
      <c r="D33" t="s">
        <v>42</v>
      </c>
      <c r="E33" t="s">
        <v>93</v>
      </c>
      <c r="F33">
        <v>8</v>
      </c>
      <c r="G33">
        <v>850</v>
      </c>
      <c r="H33">
        <v>1200</v>
      </c>
      <c r="I33">
        <v>9600</v>
      </c>
      <c r="J33">
        <v>6800</v>
      </c>
      <c r="K33">
        <v>2800</v>
      </c>
      <c r="L33">
        <v>29.17</v>
      </c>
      <c r="M33" t="s">
        <v>26</v>
      </c>
      <c r="N33" t="s">
        <v>38</v>
      </c>
    </row>
    <row r="34" spans="1:14" x14ac:dyDescent="0.35">
      <c r="A34" t="s">
        <v>119</v>
      </c>
      <c r="B34" t="s">
        <v>120</v>
      </c>
      <c r="C34" t="s">
        <v>53</v>
      </c>
      <c r="D34" t="s">
        <v>24</v>
      </c>
      <c r="E34" t="s">
        <v>85</v>
      </c>
      <c r="F34">
        <v>15</v>
      </c>
      <c r="G34">
        <v>450</v>
      </c>
      <c r="H34">
        <v>650</v>
      </c>
      <c r="I34">
        <v>9750</v>
      </c>
      <c r="J34">
        <v>6750</v>
      </c>
      <c r="K34">
        <v>3000</v>
      </c>
      <c r="L34">
        <v>30.77</v>
      </c>
      <c r="M34" t="s">
        <v>31</v>
      </c>
      <c r="N34" t="s">
        <v>44</v>
      </c>
    </row>
    <row r="35" spans="1:14" x14ac:dyDescent="0.35">
      <c r="A35" t="s">
        <v>121</v>
      </c>
      <c r="B35" t="s">
        <v>122</v>
      </c>
      <c r="C35" t="s">
        <v>53</v>
      </c>
      <c r="D35" t="s">
        <v>24</v>
      </c>
      <c r="E35" t="s">
        <v>36</v>
      </c>
      <c r="F35">
        <v>19</v>
      </c>
      <c r="G35">
        <v>750</v>
      </c>
      <c r="H35">
        <v>1100</v>
      </c>
      <c r="I35">
        <v>20900</v>
      </c>
      <c r="J35">
        <v>14250</v>
      </c>
      <c r="K35">
        <v>6650</v>
      </c>
      <c r="L35">
        <v>31.82</v>
      </c>
      <c r="M35" t="s">
        <v>123</v>
      </c>
      <c r="N35" t="s">
        <v>27</v>
      </c>
    </row>
    <row r="36" spans="1:14" x14ac:dyDescent="0.35">
      <c r="A36" t="s">
        <v>124</v>
      </c>
      <c r="B36" t="s">
        <v>125</v>
      </c>
      <c r="C36" t="s">
        <v>16</v>
      </c>
      <c r="D36" t="s">
        <v>82</v>
      </c>
      <c r="E36" t="s">
        <v>126</v>
      </c>
      <c r="F36">
        <v>9</v>
      </c>
      <c r="G36">
        <v>250</v>
      </c>
      <c r="H36">
        <v>350</v>
      </c>
      <c r="I36">
        <v>3150</v>
      </c>
      <c r="J36">
        <v>2250</v>
      </c>
      <c r="K36">
        <v>900</v>
      </c>
      <c r="L36">
        <v>28.57</v>
      </c>
      <c r="M36" t="s">
        <v>43</v>
      </c>
      <c r="N36" t="s">
        <v>32</v>
      </c>
    </row>
    <row r="37" spans="1:14" x14ac:dyDescent="0.35">
      <c r="A37" t="s">
        <v>127</v>
      </c>
      <c r="B37" t="s">
        <v>128</v>
      </c>
      <c r="C37" t="s">
        <v>79</v>
      </c>
      <c r="D37" t="s">
        <v>42</v>
      </c>
      <c r="E37" t="s">
        <v>36</v>
      </c>
      <c r="F37">
        <v>1</v>
      </c>
      <c r="G37">
        <v>750</v>
      </c>
      <c r="H37">
        <v>1100</v>
      </c>
      <c r="I37">
        <v>1100</v>
      </c>
      <c r="J37">
        <v>750</v>
      </c>
      <c r="K37">
        <v>350</v>
      </c>
      <c r="L37">
        <v>31.82</v>
      </c>
      <c r="M37" t="s">
        <v>19</v>
      </c>
      <c r="N37" t="s">
        <v>38</v>
      </c>
    </row>
    <row r="38" spans="1:14" x14ac:dyDescent="0.35">
      <c r="A38" t="s">
        <v>129</v>
      </c>
      <c r="B38" t="s">
        <v>130</v>
      </c>
      <c r="C38" t="s">
        <v>131</v>
      </c>
      <c r="D38" t="s">
        <v>42</v>
      </c>
      <c r="E38" t="s">
        <v>36</v>
      </c>
      <c r="F38">
        <v>25</v>
      </c>
      <c r="G38">
        <v>750</v>
      </c>
      <c r="H38">
        <v>1100</v>
      </c>
      <c r="I38">
        <v>27500</v>
      </c>
      <c r="J38">
        <v>18750</v>
      </c>
      <c r="K38">
        <v>8750</v>
      </c>
      <c r="L38">
        <v>31.82</v>
      </c>
      <c r="M38" t="s">
        <v>26</v>
      </c>
      <c r="N38" t="s">
        <v>20</v>
      </c>
    </row>
    <row r="39" spans="1:14" x14ac:dyDescent="0.35">
      <c r="A39" t="s">
        <v>132</v>
      </c>
      <c r="B39" t="s">
        <v>75</v>
      </c>
      <c r="C39" t="s">
        <v>133</v>
      </c>
      <c r="D39" t="s">
        <v>24</v>
      </c>
      <c r="E39" t="s">
        <v>36</v>
      </c>
      <c r="F39">
        <v>6</v>
      </c>
      <c r="G39">
        <v>750</v>
      </c>
      <c r="H39">
        <v>1100</v>
      </c>
      <c r="I39">
        <v>6600</v>
      </c>
      <c r="J39">
        <v>4500</v>
      </c>
      <c r="K39">
        <v>2100</v>
      </c>
      <c r="L39">
        <v>31.82</v>
      </c>
      <c r="M39" t="s">
        <v>31</v>
      </c>
      <c r="N39" t="s">
        <v>27</v>
      </c>
    </row>
    <row r="40" spans="1:14" x14ac:dyDescent="0.35">
      <c r="A40" t="s">
        <v>134</v>
      </c>
      <c r="B40" t="s">
        <v>122</v>
      </c>
      <c r="C40" t="s">
        <v>63</v>
      </c>
      <c r="D40" t="s">
        <v>42</v>
      </c>
      <c r="E40" t="s">
        <v>30</v>
      </c>
      <c r="F40">
        <v>23</v>
      </c>
      <c r="G40">
        <v>6500</v>
      </c>
      <c r="H40">
        <v>8500</v>
      </c>
      <c r="I40">
        <v>195500</v>
      </c>
      <c r="J40">
        <v>149500</v>
      </c>
      <c r="K40">
        <v>46000</v>
      </c>
      <c r="L40">
        <v>23.53</v>
      </c>
      <c r="M40" t="s">
        <v>37</v>
      </c>
      <c r="N40" t="s">
        <v>32</v>
      </c>
    </row>
    <row r="41" spans="1:14" x14ac:dyDescent="0.35">
      <c r="A41" t="s">
        <v>135</v>
      </c>
      <c r="B41" t="s">
        <v>136</v>
      </c>
      <c r="C41" t="s">
        <v>79</v>
      </c>
      <c r="D41" t="s">
        <v>106</v>
      </c>
      <c r="E41" t="s">
        <v>47</v>
      </c>
      <c r="F41">
        <v>14</v>
      </c>
      <c r="G41">
        <v>600</v>
      </c>
      <c r="H41">
        <v>850</v>
      </c>
      <c r="I41">
        <v>11900</v>
      </c>
      <c r="J41">
        <v>8400</v>
      </c>
      <c r="K41">
        <v>3500</v>
      </c>
      <c r="L41">
        <v>29.41</v>
      </c>
      <c r="M41" t="s">
        <v>43</v>
      </c>
      <c r="N41" t="s">
        <v>38</v>
      </c>
    </row>
    <row r="42" spans="1:14" x14ac:dyDescent="0.35">
      <c r="A42" t="s">
        <v>137</v>
      </c>
      <c r="B42" t="s">
        <v>50</v>
      </c>
      <c r="C42" t="s">
        <v>97</v>
      </c>
      <c r="D42" t="s">
        <v>42</v>
      </c>
      <c r="E42" t="s">
        <v>36</v>
      </c>
      <c r="F42">
        <v>11</v>
      </c>
      <c r="G42">
        <v>750</v>
      </c>
      <c r="H42">
        <v>1100</v>
      </c>
      <c r="I42">
        <v>12100</v>
      </c>
      <c r="J42">
        <v>8250</v>
      </c>
      <c r="K42">
        <v>3850</v>
      </c>
      <c r="L42">
        <v>31.82</v>
      </c>
      <c r="M42" t="s">
        <v>48</v>
      </c>
      <c r="N42" t="s">
        <v>44</v>
      </c>
    </row>
    <row r="43" spans="1:14" x14ac:dyDescent="0.35">
      <c r="A43" t="s">
        <v>138</v>
      </c>
      <c r="B43" t="s">
        <v>139</v>
      </c>
      <c r="C43" t="s">
        <v>16</v>
      </c>
      <c r="D43" t="s">
        <v>24</v>
      </c>
      <c r="E43" t="s">
        <v>25</v>
      </c>
      <c r="F43">
        <v>9</v>
      </c>
      <c r="G43">
        <v>2200</v>
      </c>
      <c r="H43">
        <v>2900</v>
      </c>
      <c r="I43">
        <v>26100</v>
      </c>
      <c r="J43">
        <v>19800</v>
      </c>
      <c r="K43">
        <v>6300</v>
      </c>
      <c r="L43">
        <v>24.14</v>
      </c>
      <c r="M43" t="s">
        <v>26</v>
      </c>
      <c r="N43" t="s">
        <v>27</v>
      </c>
    </row>
    <row r="44" spans="1:14" x14ac:dyDescent="0.35">
      <c r="A44" t="s">
        <v>140</v>
      </c>
      <c r="B44" t="s">
        <v>141</v>
      </c>
      <c r="C44" t="s">
        <v>23</v>
      </c>
      <c r="D44" t="s">
        <v>24</v>
      </c>
      <c r="E44" t="s">
        <v>18</v>
      </c>
      <c r="F44">
        <v>5</v>
      </c>
      <c r="G44">
        <v>1800</v>
      </c>
      <c r="H44">
        <v>2400</v>
      </c>
      <c r="I44">
        <v>12000</v>
      </c>
      <c r="J44">
        <v>9000</v>
      </c>
      <c r="K44">
        <v>3000</v>
      </c>
      <c r="L44">
        <v>25</v>
      </c>
      <c r="M44" t="s">
        <v>54</v>
      </c>
      <c r="N44" t="s">
        <v>32</v>
      </c>
    </row>
    <row r="45" spans="1:14" x14ac:dyDescent="0.35">
      <c r="A45" t="s">
        <v>142</v>
      </c>
      <c r="B45" t="s">
        <v>143</v>
      </c>
      <c r="C45" t="s">
        <v>76</v>
      </c>
      <c r="D45" t="s">
        <v>24</v>
      </c>
      <c r="E45" t="s">
        <v>47</v>
      </c>
      <c r="F45">
        <v>7</v>
      </c>
      <c r="G45">
        <v>600</v>
      </c>
      <c r="H45">
        <v>850</v>
      </c>
      <c r="I45">
        <v>5950</v>
      </c>
      <c r="J45">
        <v>4200</v>
      </c>
      <c r="K45">
        <v>1750</v>
      </c>
      <c r="L45">
        <v>29.41</v>
      </c>
      <c r="M45" t="s">
        <v>37</v>
      </c>
      <c r="N45" t="s">
        <v>38</v>
      </c>
    </row>
    <row r="46" spans="1:14" x14ac:dyDescent="0.35">
      <c r="A46" t="s">
        <v>144</v>
      </c>
      <c r="B46" t="s">
        <v>145</v>
      </c>
      <c r="C46" t="s">
        <v>146</v>
      </c>
      <c r="D46" t="s">
        <v>42</v>
      </c>
      <c r="E46" t="s">
        <v>117</v>
      </c>
      <c r="F46">
        <v>25</v>
      </c>
      <c r="G46">
        <v>300</v>
      </c>
      <c r="H46">
        <v>450</v>
      </c>
      <c r="I46">
        <v>11250</v>
      </c>
      <c r="J46">
        <v>7500</v>
      </c>
      <c r="K46">
        <v>3750</v>
      </c>
      <c r="L46">
        <v>33.33</v>
      </c>
      <c r="M46" t="s">
        <v>147</v>
      </c>
      <c r="N46" t="s">
        <v>44</v>
      </c>
    </row>
    <row r="47" spans="1:14" x14ac:dyDescent="0.35">
      <c r="A47" t="s">
        <v>148</v>
      </c>
      <c r="B47" t="s">
        <v>108</v>
      </c>
      <c r="C47" t="s">
        <v>131</v>
      </c>
      <c r="D47" t="s">
        <v>42</v>
      </c>
      <c r="E47" t="s">
        <v>36</v>
      </c>
      <c r="F47">
        <v>11</v>
      </c>
      <c r="G47">
        <v>750</v>
      </c>
      <c r="H47">
        <v>1100</v>
      </c>
      <c r="I47">
        <v>12100</v>
      </c>
      <c r="J47">
        <v>8250</v>
      </c>
      <c r="K47">
        <v>3850</v>
      </c>
      <c r="L47">
        <v>31.82</v>
      </c>
      <c r="M47" t="s">
        <v>48</v>
      </c>
      <c r="N47" t="s">
        <v>60</v>
      </c>
    </row>
    <row r="48" spans="1:14" x14ac:dyDescent="0.35">
      <c r="A48" t="s">
        <v>149</v>
      </c>
      <c r="B48" t="s">
        <v>150</v>
      </c>
      <c r="C48" t="s">
        <v>97</v>
      </c>
      <c r="D48" t="s">
        <v>42</v>
      </c>
      <c r="E48" t="s">
        <v>126</v>
      </c>
      <c r="F48">
        <v>4</v>
      </c>
      <c r="G48">
        <v>250</v>
      </c>
      <c r="H48">
        <v>350</v>
      </c>
      <c r="I48">
        <v>1400</v>
      </c>
      <c r="J48">
        <v>1000</v>
      </c>
      <c r="K48">
        <v>400</v>
      </c>
      <c r="L48">
        <v>28.57</v>
      </c>
      <c r="M48" t="s">
        <v>26</v>
      </c>
      <c r="N48" t="s">
        <v>32</v>
      </c>
    </row>
    <row r="49" spans="1:14" x14ac:dyDescent="0.35">
      <c r="A49" t="s">
        <v>151</v>
      </c>
      <c r="B49" t="s">
        <v>152</v>
      </c>
      <c r="C49" t="s">
        <v>23</v>
      </c>
      <c r="D49" t="s">
        <v>24</v>
      </c>
      <c r="E49" t="s">
        <v>126</v>
      </c>
      <c r="F49">
        <v>3</v>
      </c>
      <c r="G49">
        <v>250</v>
      </c>
      <c r="H49">
        <v>350</v>
      </c>
      <c r="I49">
        <v>1050</v>
      </c>
      <c r="J49">
        <v>750</v>
      </c>
      <c r="K49">
        <v>300</v>
      </c>
      <c r="L49">
        <v>28.57</v>
      </c>
      <c r="M49" t="s">
        <v>31</v>
      </c>
      <c r="N49" t="s">
        <v>38</v>
      </c>
    </row>
    <row r="50" spans="1:14" x14ac:dyDescent="0.35">
      <c r="A50" t="s">
        <v>153</v>
      </c>
      <c r="B50" t="s">
        <v>154</v>
      </c>
      <c r="C50" t="s">
        <v>35</v>
      </c>
      <c r="D50" t="s">
        <v>24</v>
      </c>
      <c r="E50" t="s">
        <v>93</v>
      </c>
      <c r="F50">
        <v>13</v>
      </c>
      <c r="G50">
        <v>850</v>
      </c>
      <c r="H50">
        <v>1200</v>
      </c>
      <c r="I50">
        <v>15600</v>
      </c>
      <c r="J50">
        <v>11050</v>
      </c>
      <c r="K50">
        <v>4550</v>
      </c>
      <c r="L50">
        <v>29.17</v>
      </c>
      <c r="M50" t="s">
        <v>37</v>
      </c>
      <c r="N50" t="s">
        <v>44</v>
      </c>
    </row>
    <row r="51" spans="1:14" x14ac:dyDescent="0.35">
      <c r="A51" t="s">
        <v>155</v>
      </c>
      <c r="B51" t="s">
        <v>156</v>
      </c>
      <c r="C51" t="s">
        <v>157</v>
      </c>
      <c r="D51" t="s">
        <v>42</v>
      </c>
      <c r="E51" t="s">
        <v>30</v>
      </c>
      <c r="F51">
        <v>4</v>
      </c>
      <c r="G51">
        <v>6500</v>
      </c>
      <c r="H51">
        <v>8500</v>
      </c>
      <c r="I51">
        <v>34000</v>
      </c>
      <c r="J51">
        <v>26000</v>
      </c>
      <c r="K51">
        <v>8000</v>
      </c>
      <c r="L51">
        <v>23.53</v>
      </c>
      <c r="M51" t="s">
        <v>73</v>
      </c>
      <c r="N51" t="s">
        <v>27</v>
      </c>
    </row>
    <row r="52" spans="1:14" x14ac:dyDescent="0.35">
      <c r="A52" t="s">
        <v>158</v>
      </c>
      <c r="B52" t="s">
        <v>81</v>
      </c>
      <c r="C52" t="s">
        <v>16</v>
      </c>
      <c r="D52" t="s">
        <v>24</v>
      </c>
      <c r="E52" t="s">
        <v>18</v>
      </c>
      <c r="F52">
        <v>12</v>
      </c>
      <c r="G52">
        <v>1800</v>
      </c>
      <c r="H52">
        <v>2400</v>
      </c>
      <c r="I52">
        <v>28800</v>
      </c>
      <c r="J52">
        <v>21600</v>
      </c>
      <c r="K52">
        <v>7200</v>
      </c>
      <c r="L52">
        <v>25</v>
      </c>
      <c r="M52" t="s">
        <v>48</v>
      </c>
      <c r="N52" t="s">
        <v>32</v>
      </c>
    </row>
    <row r="53" spans="1:14" x14ac:dyDescent="0.35">
      <c r="A53" t="s">
        <v>159</v>
      </c>
      <c r="B53" t="s">
        <v>96</v>
      </c>
      <c r="C53" t="s">
        <v>16</v>
      </c>
      <c r="D53" t="s">
        <v>82</v>
      </c>
      <c r="E53" t="s">
        <v>25</v>
      </c>
      <c r="F53">
        <v>12</v>
      </c>
      <c r="G53">
        <v>2200</v>
      </c>
      <c r="H53">
        <v>2900</v>
      </c>
      <c r="I53">
        <v>34800</v>
      </c>
      <c r="J53">
        <v>26400</v>
      </c>
      <c r="K53">
        <v>8400</v>
      </c>
      <c r="L53">
        <v>24.14</v>
      </c>
      <c r="M53" t="s">
        <v>26</v>
      </c>
      <c r="N53" t="s">
        <v>38</v>
      </c>
    </row>
    <row r="54" spans="1:14" x14ac:dyDescent="0.35">
      <c r="A54" t="s">
        <v>160</v>
      </c>
      <c r="B54" t="s">
        <v>161</v>
      </c>
      <c r="C54" t="s">
        <v>16</v>
      </c>
      <c r="D54" t="s">
        <v>17</v>
      </c>
      <c r="E54" t="s">
        <v>47</v>
      </c>
      <c r="F54">
        <v>20</v>
      </c>
      <c r="G54">
        <v>600</v>
      </c>
      <c r="H54">
        <v>850</v>
      </c>
      <c r="I54">
        <v>17000</v>
      </c>
      <c r="J54">
        <v>12000</v>
      </c>
      <c r="K54">
        <v>5000</v>
      </c>
      <c r="L54">
        <v>29.41</v>
      </c>
      <c r="M54" t="s">
        <v>31</v>
      </c>
      <c r="N54" t="s">
        <v>44</v>
      </c>
    </row>
    <row r="55" spans="1:14" x14ac:dyDescent="0.35">
      <c r="A55" t="s">
        <v>162</v>
      </c>
      <c r="B55" t="s">
        <v>163</v>
      </c>
      <c r="C55" t="s">
        <v>157</v>
      </c>
      <c r="D55" t="s">
        <v>42</v>
      </c>
      <c r="E55" t="s">
        <v>126</v>
      </c>
      <c r="F55">
        <v>9</v>
      </c>
      <c r="G55">
        <v>250</v>
      </c>
      <c r="H55">
        <v>350</v>
      </c>
      <c r="I55">
        <v>3150</v>
      </c>
      <c r="J55">
        <v>2250</v>
      </c>
      <c r="K55">
        <v>900</v>
      </c>
      <c r="L55">
        <v>28.57</v>
      </c>
      <c r="M55" t="s">
        <v>37</v>
      </c>
      <c r="N55" t="s">
        <v>27</v>
      </c>
    </row>
    <row r="56" spans="1:14" x14ac:dyDescent="0.35">
      <c r="A56" t="s">
        <v>164</v>
      </c>
      <c r="B56" t="s">
        <v>165</v>
      </c>
      <c r="C56" t="s">
        <v>35</v>
      </c>
      <c r="D56" t="s">
        <v>24</v>
      </c>
      <c r="E56" t="s">
        <v>51</v>
      </c>
      <c r="F56">
        <v>2</v>
      </c>
      <c r="G56">
        <v>120</v>
      </c>
      <c r="H56">
        <v>180</v>
      </c>
      <c r="I56">
        <v>360</v>
      </c>
      <c r="J56">
        <v>240</v>
      </c>
      <c r="K56">
        <v>120</v>
      </c>
      <c r="L56">
        <v>33.33</v>
      </c>
      <c r="M56" t="s">
        <v>43</v>
      </c>
      <c r="N56" t="s">
        <v>86</v>
      </c>
    </row>
    <row r="57" spans="1:14" x14ac:dyDescent="0.35">
      <c r="A57" t="s">
        <v>166</v>
      </c>
      <c r="B57" t="s">
        <v>167</v>
      </c>
      <c r="C57" t="s">
        <v>53</v>
      </c>
      <c r="D57" t="s">
        <v>24</v>
      </c>
      <c r="E57" t="s">
        <v>117</v>
      </c>
      <c r="F57">
        <v>24</v>
      </c>
      <c r="G57">
        <v>300</v>
      </c>
      <c r="H57">
        <v>450</v>
      </c>
      <c r="I57">
        <v>10800</v>
      </c>
      <c r="J57">
        <v>7200</v>
      </c>
      <c r="K57">
        <v>3600</v>
      </c>
      <c r="L57">
        <v>33.33</v>
      </c>
      <c r="M57" t="s">
        <v>168</v>
      </c>
      <c r="N57" t="s">
        <v>38</v>
      </c>
    </row>
    <row r="58" spans="1:14" x14ac:dyDescent="0.35">
      <c r="A58" t="s">
        <v>169</v>
      </c>
      <c r="B58" t="s">
        <v>170</v>
      </c>
      <c r="C58" t="s">
        <v>16</v>
      </c>
      <c r="D58" t="s">
        <v>24</v>
      </c>
      <c r="E58" t="s">
        <v>25</v>
      </c>
      <c r="F58">
        <v>15</v>
      </c>
      <c r="G58">
        <v>2200</v>
      </c>
      <c r="H58">
        <v>2900</v>
      </c>
      <c r="I58">
        <v>43500</v>
      </c>
      <c r="J58">
        <v>33000</v>
      </c>
      <c r="K58">
        <v>10500</v>
      </c>
      <c r="L58">
        <v>24.14</v>
      </c>
      <c r="M58" t="s">
        <v>94</v>
      </c>
      <c r="N58" t="s">
        <v>44</v>
      </c>
    </row>
    <row r="59" spans="1:14" x14ac:dyDescent="0.35">
      <c r="A59" t="s">
        <v>171</v>
      </c>
      <c r="B59" t="s">
        <v>120</v>
      </c>
      <c r="C59" t="s">
        <v>133</v>
      </c>
      <c r="D59" t="s">
        <v>24</v>
      </c>
      <c r="E59" t="s">
        <v>126</v>
      </c>
      <c r="F59">
        <v>18</v>
      </c>
      <c r="G59">
        <v>250</v>
      </c>
      <c r="H59">
        <v>350</v>
      </c>
      <c r="I59">
        <v>6300</v>
      </c>
      <c r="J59">
        <v>4500</v>
      </c>
      <c r="K59">
        <v>1800</v>
      </c>
      <c r="L59">
        <v>28.57</v>
      </c>
      <c r="M59" t="s">
        <v>31</v>
      </c>
      <c r="N59" t="s">
        <v>27</v>
      </c>
    </row>
    <row r="60" spans="1:14" x14ac:dyDescent="0.35">
      <c r="A60" t="s">
        <v>172</v>
      </c>
      <c r="B60" t="s">
        <v>173</v>
      </c>
      <c r="C60" t="s">
        <v>57</v>
      </c>
      <c r="D60" t="s">
        <v>24</v>
      </c>
      <c r="E60" t="s">
        <v>51</v>
      </c>
      <c r="F60">
        <v>4</v>
      </c>
      <c r="G60">
        <v>120</v>
      </c>
      <c r="H60">
        <v>180</v>
      </c>
      <c r="I60">
        <v>720</v>
      </c>
      <c r="J60">
        <v>480</v>
      </c>
      <c r="K60">
        <v>240</v>
      </c>
      <c r="L60">
        <v>33.33</v>
      </c>
      <c r="M60" t="s">
        <v>37</v>
      </c>
      <c r="N60" t="s">
        <v>32</v>
      </c>
    </row>
    <row r="61" spans="1:14" x14ac:dyDescent="0.35">
      <c r="A61" t="s">
        <v>174</v>
      </c>
      <c r="B61" t="s">
        <v>175</v>
      </c>
      <c r="C61" t="s">
        <v>63</v>
      </c>
      <c r="D61" t="s">
        <v>42</v>
      </c>
      <c r="E61" t="s">
        <v>85</v>
      </c>
      <c r="F61">
        <v>13</v>
      </c>
      <c r="G61">
        <v>450</v>
      </c>
      <c r="H61">
        <v>650</v>
      </c>
      <c r="I61">
        <v>8450</v>
      </c>
      <c r="J61">
        <v>5850</v>
      </c>
      <c r="K61">
        <v>2600</v>
      </c>
      <c r="L61">
        <v>30.77</v>
      </c>
      <c r="M61" t="s">
        <v>43</v>
      </c>
      <c r="N61" t="s">
        <v>38</v>
      </c>
    </row>
    <row r="62" spans="1:14" x14ac:dyDescent="0.35">
      <c r="A62" t="s">
        <v>176</v>
      </c>
      <c r="B62" t="s">
        <v>177</v>
      </c>
      <c r="C62" t="s">
        <v>131</v>
      </c>
      <c r="D62" t="s">
        <v>42</v>
      </c>
      <c r="E62" t="s">
        <v>30</v>
      </c>
      <c r="F62">
        <v>3</v>
      </c>
      <c r="G62">
        <v>6500</v>
      </c>
      <c r="H62">
        <v>8500</v>
      </c>
      <c r="I62">
        <v>25500</v>
      </c>
      <c r="J62">
        <v>19500</v>
      </c>
      <c r="K62">
        <v>6000</v>
      </c>
      <c r="L62">
        <v>23.53</v>
      </c>
      <c r="M62" t="s">
        <v>48</v>
      </c>
      <c r="N62" t="s">
        <v>44</v>
      </c>
    </row>
    <row r="63" spans="1:14" x14ac:dyDescent="0.35">
      <c r="A63" t="s">
        <v>178</v>
      </c>
      <c r="B63" t="s">
        <v>179</v>
      </c>
      <c r="C63" t="s">
        <v>79</v>
      </c>
      <c r="D63" t="s">
        <v>42</v>
      </c>
      <c r="E63" t="s">
        <v>30</v>
      </c>
      <c r="F63">
        <v>18</v>
      </c>
      <c r="G63">
        <v>6500</v>
      </c>
      <c r="H63">
        <v>8500</v>
      </c>
      <c r="I63">
        <v>153000</v>
      </c>
      <c r="J63">
        <v>117000</v>
      </c>
      <c r="K63">
        <v>36000</v>
      </c>
      <c r="L63">
        <v>23.53</v>
      </c>
      <c r="M63" t="s">
        <v>26</v>
      </c>
      <c r="N63" t="s">
        <v>27</v>
      </c>
    </row>
    <row r="64" spans="1:14" x14ac:dyDescent="0.35">
      <c r="A64" t="s">
        <v>180</v>
      </c>
      <c r="B64" t="s">
        <v>70</v>
      </c>
      <c r="C64" t="s">
        <v>79</v>
      </c>
      <c r="D64" t="s">
        <v>42</v>
      </c>
      <c r="E64" t="s">
        <v>47</v>
      </c>
      <c r="F64">
        <v>10</v>
      </c>
      <c r="G64">
        <v>600</v>
      </c>
      <c r="H64">
        <v>850</v>
      </c>
      <c r="I64">
        <v>8500</v>
      </c>
      <c r="J64">
        <v>6000</v>
      </c>
      <c r="K64">
        <v>2500</v>
      </c>
      <c r="L64">
        <v>29.41</v>
      </c>
      <c r="M64" t="s">
        <v>31</v>
      </c>
      <c r="N64" t="s">
        <v>32</v>
      </c>
    </row>
    <row r="65" spans="1:14" x14ac:dyDescent="0.35">
      <c r="A65" t="s">
        <v>181</v>
      </c>
      <c r="B65" t="s">
        <v>145</v>
      </c>
      <c r="C65" t="s">
        <v>76</v>
      </c>
      <c r="D65" t="s">
        <v>24</v>
      </c>
      <c r="E65" t="s">
        <v>126</v>
      </c>
      <c r="F65">
        <v>21</v>
      </c>
      <c r="G65">
        <v>250</v>
      </c>
      <c r="H65">
        <v>350</v>
      </c>
      <c r="I65">
        <v>7350</v>
      </c>
      <c r="J65">
        <v>5250</v>
      </c>
      <c r="K65">
        <v>2100</v>
      </c>
      <c r="L65">
        <v>28.57</v>
      </c>
      <c r="M65" t="s">
        <v>112</v>
      </c>
      <c r="N65" t="s">
        <v>109</v>
      </c>
    </row>
    <row r="66" spans="1:14" x14ac:dyDescent="0.35">
      <c r="A66" t="s">
        <v>182</v>
      </c>
      <c r="B66" t="s">
        <v>84</v>
      </c>
      <c r="C66" t="s">
        <v>146</v>
      </c>
      <c r="D66" t="s">
        <v>42</v>
      </c>
      <c r="E66" t="s">
        <v>117</v>
      </c>
      <c r="F66">
        <v>20</v>
      </c>
      <c r="G66">
        <v>300</v>
      </c>
      <c r="H66">
        <v>450</v>
      </c>
      <c r="I66">
        <v>9000</v>
      </c>
      <c r="J66">
        <v>6000</v>
      </c>
      <c r="K66">
        <v>3000</v>
      </c>
      <c r="L66">
        <v>33.33</v>
      </c>
      <c r="M66" t="s">
        <v>43</v>
      </c>
      <c r="N66" t="s">
        <v>44</v>
      </c>
    </row>
    <row r="67" spans="1:14" x14ac:dyDescent="0.35">
      <c r="A67" t="s">
        <v>183</v>
      </c>
      <c r="B67" t="s">
        <v>184</v>
      </c>
      <c r="C67" t="s">
        <v>131</v>
      </c>
      <c r="D67" t="s">
        <v>106</v>
      </c>
      <c r="E67" t="s">
        <v>25</v>
      </c>
      <c r="F67">
        <v>12</v>
      </c>
      <c r="G67">
        <v>2200</v>
      </c>
      <c r="H67">
        <v>2900</v>
      </c>
      <c r="I67">
        <v>34800</v>
      </c>
      <c r="J67">
        <v>26400</v>
      </c>
      <c r="K67">
        <v>8400</v>
      </c>
      <c r="L67">
        <v>24.14</v>
      </c>
      <c r="M67" t="s">
        <v>48</v>
      </c>
      <c r="N67" t="s">
        <v>27</v>
      </c>
    </row>
    <row r="68" spans="1:14" x14ac:dyDescent="0.35">
      <c r="A68" t="s">
        <v>185</v>
      </c>
      <c r="B68" t="s">
        <v>186</v>
      </c>
      <c r="C68" t="s">
        <v>63</v>
      </c>
      <c r="D68" t="s">
        <v>42</v>
      </c>
      <c r="E68" t="s">
        <v>51</v>
      </c>
      <c r="F68">
        <v>19</v>
      </c>
      <c r="G68">
        <v>120</v>
      </c>
      <c r="H68">
        <v>180</v>
      </c>
      <c r="I68">
        <v>3420</v>
      </c>
      <c r="J68">
        <v>2280</v>
      </c>
      <c r="K68">
        <v>1140</v>
      </c>
      <c r="L68">
        <v>33.33</v>
      </c>
      <c r="M68" t="s">
        <v>66</v>
      </c>
      <c r="N68" t="s">
        <v>32</v>
      </c>
    </row>
    <row r="69" spans="1:14" x14ac:dyDescent="0.35">
      <c r="A69" t="s">
        <v>187</v>
      </c>
      <c r="B69" t="s">
        <v>188</v>
      </c>
      <c r="C69" t="s">
        <v>79</v>
      </c>
      <c r="D69" t="s">
        <v>42</v>
      </c>
      <c r="E69" t="s">
        <v>117</v>
      </c>
      <c r="F69">
        <v>7</v>
      </c>
      <c r="G69">
        <v>300</v>
      </c>
      <c r="H69">
        <v>450</v>
      </c>
      <c r="I69">
        <v>3150</v>
      </c>
      <c r="J69">
        <v>2100</v>
      </c>
      <c r="K69">
        <v>1050</v>
      </c>
      <c r="L69">
        <v>33.33</v>
      </c>
      <c r="M69" t="s">
        <v>31</v>
      </c>
      <c r="N69" t="s">
        <v>38</v>
      </c>
    </row>
    <row r="70" spans="1:14" x14ac:dyDescent="0.35">
      <c r="A70" t="s">
        <v>189</v>
      </c>
      <c r="B70" t="s">
        <v>190</v>
      </c>
      <c r="C70" t="s">
        <v>41</v>
      </c>
      <c r="D70" t="s">
        <v>191</v>
      </c>
      <c r="E70" t="s">
        <v>126</v>
      </c>
      <c r="F70">
        <v>23</v>
      </c>
      <c r="G70">
        <v>250</v>
      </c>
      <c r="H70">
        <v>350</v>
      </c>
      <c r="I70">
        <v>8050</v>
      </c>
      <c r="J70">
        <v>5750</v>
      </c>
      <c r="K70">
        <v>2300</v>
      </c>
      <c r="L70">
        <v>28.57</v>
      </c>
      <c r="M70" t="s">
        <v>37</v>
      </c>
      <c r="N70" t="s">
        <v>44</v>
      </c>
    </row>
    <row r="71" spans="1:14" x14ac:dyDescent="0.35">
      <c r="A71" t="s">
        <v>192</v>
      </c>
      <c r="B71" t="s">
        <v>186</v>
      </c>
      <c r="C71" t="s">
        <v>92</v>
      </c>
      <c r="D71" t="s">
        <v>42</v>
      </c>
      <c r="E71" t="s">
        <v>117</v>
      </c>
      <c r="F71">
        <v>3</v>
      </c>
      <c r="G71">
        <v>300</v>
      </c>
      <c r="H71">
        <v>450</v>
      </c>
      <c r="I71">
        <v>1350</v>
      </c>
      <c r="J71">
        <v>900</v>
      </c>
      <c r="K71">
        <v>450</v>
      </c>
      <c r="L71">
        <v>33.33</v>
      </c>
      <c r="M71" t="s">
        <v>43</v>
      </c>
      <c r="N71" t="s">
        <v>27</v>
      </c>
    </row>
    <row r="72" spans="1:14" x14ac:dyDescent="0.35">
      <c r="A72" t="s">
        <v>193</v>
      </c>
      <c r="B72" t="s">
        <v>194</v>
      </c>
      <c r="C72" t="s">
        <v>131</v>
      </c>
      <c r="D72" t="s">
        <v>42</v>
      </c>
      <c r="E72" t="s">
        <v>18</v>
      </c>
      <c r="F72">
        <v>2</v>
      </c>
      <c r="G72">
        <v>1800</v>
      </c>
      <c r="H72">
        <v>2400</v>
      </c>
      <c r="I72">
        <v>4800</v>
      </c>
      <c r="J72">
        <v>3600</v>
      </c>
      <c r="K72">
        <v>1200</v>
      </c>
      <c r="L72">
        <v>25</v>
      </c>
      <c r="M72" t="s">
        <v>19</v>
      </c>
      <c r="N72" t="s">
        <v>32</v>
      </c>
    </row>
    <row r="73" spans="1:14" x14ac:dyDescent="0.35">
      <c r="A73" t="s">
        <v>195</v>
      </c>
      <c r="B73" t="s">
        <v>196</v>
      </c>
      <c r="C73" t="s">
        <v>133</v>
      </c>
      <c r="D73" t="s">
        <v>24</v>
      </c>
      <c r="E73" t="s">
        <v>93</v>
      </c>
      <c r="F73">
        <v>22</v>
      </c>
      <c r="G73">
        <v>850</v>
      </c>
      <c r="H73">
        <v>1200</v>
      </c>
      <c r="I73">
        <v>26400</v>
      </c>
      <c r="J73">
        <v>18700</v>
      </c>
      <c r="K73">
        <v>7700</v>
      </c>
      <c r="L73">
        <v>29.17</v>
      </c>
      <c r="M73" t="s">
        <v>26</v>
      </c>
      <c r="N73" t="s">
        <v>38</v>
      </c>
    </row>
    <row r="74" spans="1:14" x14ac:dyDescent="0.35">
      <c r="A74" t="s">
        <v>197</v>
      </c>
      <c r="B74" t="s">
        <v>198</v>
      </c>
      <c r="C74" t="s">
        <v>133</v>
      </c>
      <c r="D74" t="s">
        <v>24</v>
      </c>
      <c r="E74" t="s">
        <v>85</v>
      </c>
      <c r="F74">
        <v>8</v>
      </c>
      <c r="G74">
        <v>450</v>
      </c>
      <c r="H74">
        <v>650</v>
      </c>
      <c r="I74">
        <v>5200</v>
      </c>
      <c r="J74">
        <v>3600</v>
      </c>
      <c r="K74">
        <v>1600</v>
      </c>
      <c r="L74">
        <v>30.77</v>
      </c>
      <c r="M74" t="s">
        <v>31</v>
      </c>
      <c r="N74" t="s">
        <v>20</v>
      </c>
    </row>
    <row r="75" spans="1:14" x14ac:dyDescent="0.35">
      <c r="A75" t="s">
        <v>199</v>
      </c>
      <c r="B75" t="s">
        <v>152</v>
      </c>
      <c r="C75" t="s">
        <v>131</v>
      </c>
      <c r="D75" t="s">
        <v>42</v>
      </c>
      <c r="E75" t="s">
        <v>18</v>
      </c>
      <c r="F75">
        <v>25</v>
      </c>
      <c r="G75">
        <v>1800</v>
      </c>
      <c r="H75">
        <v>2400</v>
      </c>
      <c r="I75">
        <v>60000</v>
      </c>
      <c r="J75">
        <v>45000</v>
      </c>
      <c r="K75">
        <v>15000</v>
      </c>
      <c r="L75">
        <v>25</v>
      </c>
      <c r="M75" t="s">
        <v>37</v>
      </c>
      <c r="N75" t="s">
        <v>27</v>
      </c>
    </row>
    <row r="76" spans="1:14" x14ac:dyDescent="0.35">
      <c r="A76" t="s">
        <v>200</v>
      </c>
      <c r="B76" t="s">
        <v>201</v>
      </c>
      <c r="C76" t="s">
        <v>131</v>
      </c>
      <c r="D76" t="s">
        <v>42</v>
      </c>
      <c r="E76" t="s">
        <v>30</v>
      </c>
      <c r="F76">
        <v>10</v>
      </c>
      <c r="G76">
        <v>6500</v>
      </c>
      <c r="H76">
        <v>8500</v>
      </c>
      <c r="I76">
        <v>85000</v>
      </c>
      <c r="J76">
        <v>65000</v>
      </c>
      <c r="K76">
        <v>20000</v>
      </c>
      <c r="L76">
        <v>23.53</v>
      </c>
      <c r="M76" t="s">
        <v>43</v>
      </c>
      <c r="N76" t="s">
        <v>32</v>
      </c>
    </row>
    <row r="77" spans="1:14" x14ac:dyDescent="0.35">
      <c r="A77" t="s">
        <v>202</v>
      </c>
      <c r="B77" t="s">
        <v>203</v>
      </c>
      <c r="C77" t="s">
        <v>16</v>
      </c>
      <c r="D77" t="s">
        <v>24</v>
      </c>
      <c r="E77" t="s">
        <v>36</v>
      </c>
      <c r="F77">
        <v>3</v>
      </c>
      <c r="G77">
        <v>750</v>
      </c>
      <c r="H77">
        <v>1100</v>
      </c>
      <c r="I77">
        <v>3300</v>
      </c>
      <c r="J77">
        <v>2250</v>
      </c>
      <c r="K77">
        <v>1050</v>
      </c>
      <c r="L77">
        <v>31.82</v>
      </c>
      <c r="M77" t="s">
        <v>48</v>
      </c>
      <c r="N77" t="s">
        <v>38</v>
      </c>
    </row>
    <row r="78" spans="1:14" x14ac:dyDescent="0.35">
      <c r="A78" t="s">
        <v>204</v>
      </c>
      <c r="B78" t="s">
        <v>34</v>
      </c>
      <c r="C78" t="s">
        <v>53</v>
      </c>
      <c r="D78" t="s">
        <v>24</v>
      </c>
      <c r="E78" t="s">
        <v>47</v>
      </c>
      <c r="F78">
        <v>8</v>
      </c>
      <c r="G78">
        <v>600</v>
      </c>
      <c r="H78">
        <v>850</v>
      </c>
      <c r="I78">
        <v>6800</v>
      </c>
      <c r="J78">
        <v>4800</v>
      </c>
      <c r="K78">
        <v>2000</v>
      </c>
      <c r="L78">
        <v>29.41</v>
      </c>
      <c r="M78" t="s">
        <v>26</v>
      </c>
      <c r="N78" t="s">
        <v>44</v>
      </c>
    </row>
    <row r="79" spans="1:14" x14ac:dyDescent="0.35">
      <c r="A79" t="s">
        <v>205</v>
      </c>
      <c r="B79" t="s">
        <v>206</v>
      </c>
      <c r="C79" t="s">
        <v>146</v>
      </c>
      <c r="D79" t="s">
        <v>42</v>
      </c>
      <c r="E79" t="s">
        <v>51</v>
      </c>
      <c r="F79">
        <v>4</v>
      </c>
      <c r="G79">
        <v>120</v>
      </c>
      <c r="H79">
        <v>180</v>
      </c>
      <c r="I79">
        <v>720</v>
      </c>
      <c r="J79">
        <v>480</v>
      </c>
      <c r="K79">
        <v>240</v>
      </c>
      <c r="L79">
        <v>33.33</v>
      </c>
      <c r="M79" t="s">
        <v>54</v>
      </c>
      <c r="N79" t="s">
        <v>27</v>
      </c>
    </row>
    <row r="80" spans="1:14" x14ac:dyDescent="0.35">
      <c r="A80" t="s">
        <v>207</v>
      </c>
      <c r="B80" t="s">
        <v>208</v>
      </c>
      <c r="C80" t="s">
        <v>79</v>
      </c>
      <c r="D80" t="s">
        <v>106</v>
      </c>
      <c r="E80" t="s">
        <v>126</v>
      </c>
      <c r="F80">
        <v>13</v>
      </c>
      <c r="G80">
        <v>250</v>
      </c>
      <c r="H80">
        <v>350</v>
      </c>
      <c r="I80">
        <v>4550</v>
      </c>
      <c r="J80">
        <v>3250</v>
      </c>
      <c r="K80">
        <v>1300</v>
      </c>
      <c r="L80">
        <v>28.57</v>
      </c>
      <c r="M80" t="s">
        <v>37</v>
      </c>
      <c r="N80" t="s">
        <v>32</v>
      </c>
    </row>
    <row r="81" spans="1:14" x14ac:dyDescent="0.35">
      <c r="A81" t="s">
        <v>209</v>
      </c>
      <c r="B81" t="s">
        <v>165</v>
      </c>
      <c r="C81" t="s">
        <v>41</v>
      </c>
      <c r="D81" t="s">
        <v>42</v>
      </c>
      <c r="E81" t="s">
        <v>36</v>
      </c>
      <c r="F81">
        <v>9</v>
      </c>
      <c r="G81">
        <v>750</v>
      </c>
      <c r="H81">
        <v>1100</v>
      </c>
      <c r="I81">
        <v>9900</v>
      </c>
      <c r="J81">
        <v>6750</v>
      </c>
      <c r="K81">
        <v>3150</v>
      </c>
      <c r="L81">
        <v>31.82</v>
      </c>
      <c r="M81" t="s">
        <v>43</v>
      </c>
      <c r="N81" t="s">
        <v>38</v>
      </c>
    </row>
    <row r="82" spans="1:14" x14ac:dyDescent="0.35">
      <c r="A82" t="s">
        <v>210</v>
      </c>
      <c r="B82" t="s">
        <v>81</v>
      </c>
      <c r="C82" t="s">
        <v>53</v>
      </c>
      <c r="D82" t="s">
        <v>24</v>
      </c>
      <c r="E82" t="s">
        <v>51</v>
      </c>
      <c r="F82">
        <v>15</v>
      </c>
      <c r="G82">
        <v>120</v>
      </c>
      <c r="H82">
        <v>180</v>
      </c>
      <c r="I82">
        <v>2700</v>
      </c>
      <c r="J82">
        <v>1800</v>
      </c>
      <c r="K82">
        <v>900</v>
      </c>
      <c r="L82">
        <v>33.33</v>
      </c>
      <c r="M82" t="s">
        <v>48</v>
      </c>
      <c r="N82" t="s">
        <v>44</v>
      </c>
    </row>
    <row r="83" spans="1:14" x14ac:dyDescent="0.35">
      <c r="A83" t="s">
        <v>211</v>
      </c>
      <c r="B83" t="s">
        <v>212</v>
      </c>
      <c r="C83" t="s">
        <v>133</v>
      </c>
      <c r="D83" t="s">
        <v>24</v>
      </c>
      <c r="E83" t="s">
        <v>85</v>
      </c>
      <c r="F83">
        <v>21</v>
      </c>
      <c r="G83">
        <v>450</v>
      </c>
      <c r="H83">
        <v>650</v>
      </c>
      <c r="I83">
        <v>13650</v>
      </c>
      <c r="J83">
        <v>9450</v>
      </c>
      <c r="K83">
        <v>4200</v>
      </c>
      <c r="L83">
        <v>30.77</v>
      </c>
      <c r="M83" t="s">
        <v>26</v>
      </c>
      <c r="N83" t="s">
        <v>60</v>
      </c>
    </row>
    <row r="84" spans="1:14" x14ac:dyDescent="0.35">
      <c r="A84" t="s">
        <v>213</v>
      </c>
      <c r="B84" t="s">
        <v>214</v>
      </c>
      <c r="C84" t="s">
        <v>35</v>
      </c>
      <c r="D84" t="s">
        <v>24</v>
      </c>
      <c r="E84" t="s">
        <v>30</v>
      </c>
      <c r="F84">
        <v>12</v>
      </c>
      <c r="G84">
        <v>6500</v>
      </c>
      <c r="H84">
        <v>8500</v>
      </c>
      <c r="I84">
        <v>102000</v>
      </c>
      <c r="J84">
        <v>78000</v>
      </c>
      <c r="K84">
        <v>24000</v>
      </c>
      <c r="L84">
        <v>23.53</v>
      </c>
      <c r="M84" t="s">
        <v>31</v>
      </c>
      <c r="N84" t="s">
        <v>32</v>
      </c>
    </row>
    <row r="85" spans="1:14" x14ac:dyDescent="0.35">
      <c r="A85" t="s">
        <v>215</v>
      </c>
      <c r="B85" t="s">
        <v>216</v>
      </c>
      <c r="C85" t="s">
        <v>41</v>
      </c>
      <c r="D85" t="s">
        <v>42</v>
      </c>
      <c r="E85" t="s">
        <v>85</v>
      </c>
      <c r="F85">
        <v>6</v>
      </c>
      <c r="G85">
        <v>450</v>
      </c>
      <c r="H85">
        <v>650</v>
      </c>
      <c r="I85">
        <v>3900</v>
      </c>
      <c r="J85">
        <v>2700</v>
      </c>
      <c r="K85">
        <v>1200</v>
      </c>
      <c r="L85">
        <v>30.77</v>
      </c>
      <c r="M85" t="s">
        <v>37</v>
      </c>
      <c r="N85" t="s">
        <v>38</v>
      </c>
    </row>
    <row r="86" spans="1:14" x14ac:dyDescent="0.35">
      <c r="A86" t="s">
        <v>217</v>
      </c>
      <c r="B86" t="s">
        <v>218</v>
      </c>
      <c r="C86" t="s">
        <v>35</v>
      </c>
      <c r="D86" t="s">
        <v>24</v>
      </c>
      <c r="E86" t="s">
        <v>93</v>
      </c>
      <c r="F86">
        <v>12</v>
      </c>
      <c r="G86">
        <v>850</v>
      </c>
      <c r="H86">
        <v>1200</v>
      </c>
      <c r="I86">
        <v>14400</v>
      </c>
      <c r="J86">
        <v>10200</v>
      </c>
      <c r="K86">
        <v>4200</v>
      </c>
      <c r="L86">
        <v>29.17</v>
      </c>
      <c r="M86" t="s">
        <v>73</v>
      </c>
      <c r="N86" t="s">
        <v>44</v>
      </c>
    </row>
    <row r="87" spans="1:14" x14ac:dyDescent="0.35">
      <c r="A87" t="s">
        <v>219</v>
      </c>
      <c r="B87" t="s">
        <v>220</v>
      </c>
      <c r="C87" t="s">
        <v>157</v>
      </c>
      <c r="D87" t="s">
        <v>191</v>
      </c>
      <c r="E87" t="s">
        <v>126</v>
      </c>
      <c r="F87">
        <v>12</v>
      </c>
      <c r="G87">
        <v>250</v>
      </c>
      <c r="H87">
        <v>350</v>
      </c>
      <c r="I87">
        <v>4200</v>
      </c>
      <c r="J87">
        <v>3000</v>
      </c>
      <c r="K87">
        <v>1200</v>
      </c>
      <c r="L87">
        <v>28.57</v>
      </c>
      <c r="M87" t="s">
        <v>48</v>
      </c>
      <c r="N87" t="s">
        <v>27</v>
      </c>
    </row>
    <row r="88" spans="1:14" x14ac:dyDescent="0.35">
      <c r="A88" t="s">
        <v>221</v>
      </c>
      <c r="B88" t="s">
        <v>34</v>
      </c>
      <c r="C88" t="s">
        <v>97</v>
      </c>
      <c r="D88" t="s">
        <v>42</v>
      </c>
      <c r="E88" t="s">
        <v>126</v>
      </c>
      <c r="F88">
        <v>7</v>
      </c>
      <c r="G88">
        <v>250</v>
      </c>
      <c r="H88">
        <v>350</v>
      </c>
      <c r="I88">
        <v>2450</v>
      </c>
      <c r="J88">
        <v>1750</v>
      </c>
      <c r="K88">
        <v>700</v>
      </c>
      <c r="L88">
        <v>28.57</v>
      </c>
      <c r="M88" t="s">
        <v>26</v>
      </c>
      <c r="N88" t="s">
        <v>32</v>
      </c>
    </row>
    <row r="89" spans="1:14" x14ac:dyDescent="0.35">
      <c r="A89" t="s">
        <v>222</v>
      </c>
      <c r="B89" t="s">
        <v>223</v>
      </c>
      <c r="C89" t="s">
        <v>57</v>
      </c>
      <c r="D89" t="s">
        <v>24</v>
      </c>
      <c r="E89" t="s">
        <v>25</v>
      </c>
      <c r="F89">
        <v>22</v>
      </c>
      <c r="G89">
        <v>2200</v>
      </c>
      <c r="H89">
        <v>2900</v>
      </c>
      <c r="I89">
        <v>63800</v>
      </c>
      <c r="J89">
        <v>48400</v>
      </c>
      <c r="K89">
        <v>15400</v>
      </c>
      <c r="L89">
        <v>24.14</v>
      </c>
      <c r="M89" t="s">
        <v>31</v>
      </c>
      <c r="N89" t="s">
        <v>38</v>
      </c>
    </row>
    <row r="90" spans="1:14" x14ac:dyDescent="0.35">
      <c r="A90" t="s">
        <v>224</v>
      </c>
      <c r="B90" t="s">
        <v>225</v>
      </c>
      <c r="C90" t="s">
        <v>41</v>
      </c>
      <c r="D90" t="s">
        <v>42</v>
      </c>
      <c r="E90" t="s">
        <v>30</v>
      </c>
      <c r="F90">
        <v>9</v>
      </c>
      <c r="G90">
        <v>6500</v>
      </c>
      <c r="H90">
        <v>8500</v>
      </c>
      <c r="I90">
        <v>76500</v>
      </c>
      <c r="J90">
        <v>58500</v>
      </c>
      <c r="K90">
        <v>18000</v>
      </c>
      <c r="L90">
        <v>23.53</v>
      </c>
      <c r="M90" t="s">
        <v>123</v>
      </c>
      <c r="N90" t="s">
        <v>44</v>
      </c>
    </row>
    <row r="91" spans="1:14" x14ac:dyDescent="0.35">
      <c r="A91" t="s">
        <v>226</v>
      </c>
      <c r="B91" t="s">
        <v>108</v>
      </c>
      <c r="C91" t="s">
        <v>133</v>
      </c>
      <c r="D91" t="s">
        <v>24</v>
      </c>
      <c r="E91" t="s">
        <v>36</v>
      </c>
      <c r="F91">
        <v>23</v>
      </c>
      <c r="G91">
        <v>750</v>
      </c>
      <c r="H91">
        <v>1100</v>
      </c>
      <c r="I91">
        <v>25300</v>
      </c>
      <c r="J91">
        <v>17250</v>
      </c>
      <c r="K91">
        <v>8050</v>
      </c>
      <c r="L91">
        <v>31.82</v>
      </c>
      <c r="M91" t="s">
        <v>43</v>
      </c>
      <c r="N91" t="s">
        <v>27</v>
      </c>
    </row>
    <row r="92" spans="1:14" x14ac:dyDescent="0.35">
      <c r="A92" t="s">
        <v>227</v>
      </c>
      <c r="B92" t="s">
        <v>228</v>
      </c>
      <c r="C92" t="s">
        <v>133</v>
      </c>
      <c r="D92" t="s">
        <v>24</v>
      </c>
      <c r="E92" t="s">
        <v>18</v>
      </c>
      <c r="F92">
        <v>22</v>
      </c>
      <c r="G92">
        <v>1800</v>
      </c>
      <c r="H92">
        <v>2400</v>
      </c>
      <c r="I92">
        <v>52800</v>
      </c>
      <c r="J92">
        <v>39600</v>
      </c>
      <c r="K92">
        <v>13200</v>
      </c>
      <c r="L92">
        <v>25</v>
      </c>
      <c r="M92" t="s">
        <v>48</v>
      </c>
      <c r="N92" t="s">
        <v>86</v>
      </c>
    </row>
    <row r="93" spans="1:14" x14ac:dyDescent="0.35">
      <c r="A93" t="s">
        <v>229</v>
      </c>
      <c r="B93" t="s">
        <v>154</v>
      </c>
      <c r="C93" t="s">
        <v>146</v>
      </c>
      <c r="D93" t="s">
        <v>106</v>
      </c>
      <c r="E93" t="s">
        <v>93</v>
      </c>
      <c r="F93">
        <v>21</v>
      </c>
      <c r="G93">
        <v>850</v>
      </c>
      <c r="H93">
        <v>1200</v>
      </c>
      <c r="I93">
        <v>25200</v>
      </c>
      <c r="J93">
        <v>17850</v>
      </c>
      <c r="K93">
        <v>7350</v>
      </c>
      <c r="L93">
        <v>29.17</v>
      </c>
      <c r="M93" t="s">
        <v>94</v>
      </c>
      <c r="N93" t="s">
        <v>38</v>
      </c>
    </row>
    <row r="94" spans="1:14" x14ac:dyDescent="0.35">
      <c r="A94" t="s">
        <v>230</v>
      </c>
      <c r="B94" t="s">
        <v>62</v>
      </c>
      <c r="C94" t="s">
        <v>146</v>
      </c>
      <c r="D94" t="s">
        <v>42</v>
      </c>
      <c r="E94" t="s">
        <v>117</v>
      </c>
      <c r="F94">
        <v>3</v>
      </c>
      <c r="G94">
        <v>300</v>
      </c>
      <c r="H94">
        <v>450</v>
      </c>
      <c r="I94">
        <v>1350</v>
      </c>
      <c r="J94">
        <v>900</v>
      </c>
      <c r="K94">
        <v>450</v>
      </c>
      <c r="L94">
        <v>33.33</v>
      </c>
      <c r="M94" t="s">
        <v>31</v>
      </c>
      <c r="N94" t="s">
        <v>44</v>
      </c>
    </row>
    <row r="95" spans="1:14" x14ac:dyDescent="0.35">
      <c r="A95" t="s">
        <v>231</v>
      </c>
      <c r="B95" t="s">
        <v>232</v>
      </c>
      <c r="C95" t="s">
        <v>146</v>
      </c>
      <c r="D95" t="s">
        <v>42</v>
      </c>
      <c r="E95" t="s">
        <v>126</v>
      </c>
      <c r="F95">
        <v>20</v>
      </c>
      <c r="G95">
        <v>250</v>
      </c>
      <c r="H95">
        <v>350</v>
      </c>
      <c r="I95">
        <v>7000</v>
      </c>
      <c r="J95">
        <v>5000</v>
      </c>
      <c r="K95">
        <v>2000</v>
      </c>
      <c r="L95">
        <v>28.57</v>
      </c>
      <c r="M95" t="s">
        <v>37</v>
      </c>
      <c r="N95" t="s">
        <v>27</v>
      </c>
    </row>
    <row r="96" spans="1:14" x14ac:dyDescent="0.35">
      <c r="A96" t="s">
        <v>233</v>
      </c>
      <c r="B96" t="s">
        <v>234</v>
      </c>
      <c r="C96" t="s">
        <v>79</v>
      </c>
      <c r="D96" t="s">
        <v>42</v>
      </c>
      <c r="E96" t="s">
        <v>93</v>
      </c>
      <c r="F96">
        <v>21</v>
      </c>
      <c r="G96">
        <v>850</v>
      </c>
      <c r="H96">
        <v>1200</v>
      </c>
      <c r="I96">
        <v>25200</v>
      </c>
      <c r="J96">
        <v>17850</v>
      </c>
      <c r="K96">
        <v>7350</v>
      </c>
      <c r="L96">
        <v>29.17</v>
      </c>
      <c r="M96" t="s">
        <v>43</v>
      </c>
      <c r="N96" t="s">
        <v>32</v>
      </c>
    </row>
    <row r="97" spans="1:14" x14ac:dyDescent="0.35">
      <c r="A97" t="s">
        <v>235</v>
      </c>
      <c r="B97" t="s">
        <v>236</v>
      </c>
      <c r="C97" t="s">
        <v>146</v>
      </c>
      <c r="D97" t="s">
        <v>42</v>
      </c>
      <c r="E97" t="s">
        <v>126</v>
      </c>
      <c r="F97">
        <v>6</v>
      </c>
      <c r="G97">
        <v>250</v>
      </c>
      <c r="H97">
        <v>350</v>
      </c>
      <c r="I97">
        <v>2100</v>
      </c>
      <c r="J97">
        <v>1500</v>
      </c>
      <c r="K97">
        <v>600</v>
      </c>
      <c r="L97">
        <v>28.57</v>
      </c>
      <c r="M97" t="s">
        <v>48</v>
      </c>
      <c r="N97" t="s">
        <v>38</v>
      </c>
    </row>
    <row r="98" spans="1:14" x14ac:dyDescent="0.35">
      <c r="A98" t="s">
        <v>237</v>
      </c>
      <c r="B98" t="s">
        <v>238</v>
      </c>
      <c r="C98" t="s">
        <v>63</v>
      </c>
      <c r="D98" t="s">
        <v>42</v>
      </c>
      <c r="E98" t="s">
        <v>93</v>
      </c>
      <c r="F98">
        <v>18</v>
      </c>
      <c r="G98">
        <v>850</v>
      </c>
      <c r="H98">
        <v>1200</v>
      </c>
      <c r="I98">
        <v>21600</v>
      </c>
      <c r="J98">
        <v>15300</v>
      </c>
      <c r="K98">
        <v>6300</v>
      </c>
      <c r="L98">
        <v>29.17</v>
      </c>
      <c r="M98" t="s">
        <v>26</v>
      </c>
      <c r="N98" t="s">
        <v>44</v>
      </c>
    </row>
    <row r="99" spans="1:14" x14ac:dyDescent="0.35">
      <c r="A99" t="s">
        <v>239</v>
      </c>
      <c r="B99" t="s">
        <v>175</v>
      </c>
      <c r="C99" t="s">
        <v>131</v>
      </c>
      <c r="D99" t="s">
        <v>42</v>
      </c>
      <c r="E99" t="s">
        <v>47</v>
      </c>
      <c r="F99">
        <v>24</v>
      </c>
      <c r="G99">
        <v>600</v>
      </c>
      <c r="H99">
        <v>850</v>
      </c>
      <c r="I99">
        <v>20400</v>
      </c>
      <c r="J99">
        <v>14400</v>
      </c>
      <c r="K99">
        <v>6000</v>
      </c>
      <c r="L99">
        <v>29.41</v>
      </c>
      <c r="M99" t="s">
        <v>31</v>
      </c>
      <c r="N99" t="s">
        <v>27</v>
      </c>
    </row>
    <row r="100" spans="1:14" x14ac:dyDescent="0.35">
      <c r="A100" t="s">
        <v>240</v>
      </c>
      <c r="B100" t="s">
        <v>234</v>
      </c>
      <c r="C100" t="s">
        <v>97</v>
      </c>
      <c r="D100" t="s">
        <v>42</v>
      </c>
      <c r="E100" t="s">
        <v>18</v>
      </c>
      <c r="F100">
        <v>8</v>
      </c>
      <c r="G100">
        <v>1800</v>
      </c>
      <c r="H100">
        <v>2400</v>
      </c>
      <c r="I100">
        <v>19200</v>
      </c>
      <c r="J100">
        <v>14400</v>
      </c>
      <c r="K100">
        <v>4800</v>
      </c>
      <c r="L100">
        <v>25</v>
      </c>
      <c r="M100" t="s">
        <v>112</v>
      </c>
      <c r="N100" t="s">
        <v>32</v>
      </c>
    </row>
    <row r="101" spans="1:14" x14ac:dyDescent="0.35">
      <c r="A101" t="s">
        <v>241</v>
      </c>
      <c r="B101" t="s">
        <v>242</v>
      </c>
      <c r="C101" t="s">
        <v>133</v>
      </c>
      <c r="D101" t="s">
        <v>24</v>
      </c>
      <c r="E101" t="s">
        <v>36</v>
      </c>
      <c r="F101">
        <v>6</v>
      </c>
      <c r="G101">
        <v>750</v>
      </c>
      <c r="H101">
        <v>1100</v>
      </c>
      <c r="I101">
        <v>6600</v>
      </c>
      <c r="J101">
        <v>4500</v>
      </c>
      <c r="K101">
        <v>2100</v>
      </c>
      <c r="L101">
        <v>31.82</v>
      </c>
      <c r="M101" t="s">
        <v>147</v>
      </c>
      <c r="N101" t="s">
        <v>109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8A924-A03F-4ECB-ABD1-3FADAC8B5DA3}">
  <sheetPr>
    <tabColor rgb="FF284612"/>
  </sheetPr>
  <dimension ref="A1"/>
  <sheetViews>
    <sheetView showGridLines="0" showRowColHeaders="0" zoomScaleNormal="100" workbookViewId="0">
      <selection activeCell="C19" sqref="C1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0CB9E-8948-427D-99ED-66A7B07148DE}">
  <sheetPr>
    <tabColor rgb="FF284612"/>
  </sheetPr>
  <dimension ref="A3:C47"/>
  <sheetViews>
    <sheetView zoomScale="57" workbookViewId="0">
      <selection activeCell="E12" sqref="E12"/>
    </sheetView>
  </sheetViews>
  <sheetFormatPr defaultRowHeight="14.5" x14ac:dyDescent="0.35"/>
  <cols>
    <col min="1" max="1" width="14.7265625" bestFit="1" customWidth="1"/>
    <col min="2" max="2" width="26.08984375" bestFit="1" customWidth="1"/>
    <col min="3" max="3" width="17.81640625" bestFit="1" customWidth="1"/>
    <col min="4" max="4" width="8.7265625" customWidth="1"/>
    <col min="5" max="5" width="8.54296875" customWidth="1"/>
  </cols>
  <sheetData>
    <row r="3" spans="1:3" x14ac:dyDescent="0.35">
      <c r="A3" s="10" t="s">
        <v>368</v>
      </c>
      <c r="B3" t="s">
        <v>370</v>
      </c>
      <c r="C3" t="s">
        <v>373</v>
      </c>
    </row>
    <row r="4" spans="1:3" x14ac:dyDescent="0.35">
      <c r="A4" s="11" t="s">
        <v>26</v>
      </c>
      <c r="B4" s="3">
        <v>698960</v>
      </c>
      <c r="C4" s="3">
        <v>176170</v>
      </c>
    </row>
    <row r="5" spans="1:3" x14ac:dyDescent="0.35">
      <c r="A5" s="11" t="s">
        <v>43</v>
      </c>
      <c r="B5" s="3">
        <v>576660</v>
      </c>
      <c r="C5" s="3">
        <v>147370</v>
      </c>
    </row>
    <row r="6" spans="1:3" x14ac:dyDescent="0.35">
      <c r="A6" s="11" t="s">
        <v>37</v>
      </c>
      <c r="B6" s="3">
        <v>491360</v>
      </c>
      <c r="C6" s="3">
        <v>125670</v>
      </c>
    </row>
    <row r="7" spans="1:3" x14ac:dyDescent="0.35">
      <c r="A7" s="11" t="s">
        <v>48</v>
      </c>
      <c r="B7" s="3">
        <v>472700</v>
      </c>
      <c r="C7" s="3">
        <v>120050</v>
      </c>
    </row>
    <row r="8" spans="1:3" x14ac:dyDescent="0.35">
      <c r="A8" s="11" t="s">
        <v>31</v>
      </c>
      <c r="B8" s="3">
        <v>427520</v>
      </c>
      <c r="C8" s="3">
        <v>109190</v>
      </c>
    </row>
    <row r="9" spans="1:3" x14ac:dyDescent="0.35">
      <c r="A9" s="11" t="s">
        <v>369</v>
      </c>
      <c r="B9" s="3">
        <v>2667200</v>
      </c>
      <c r="C9" s="3">
        <v>678450</v>
      </c>
    </row>
    <row r="11" spans="1:3" x14ac:dyDescent="0.35">
      <c r="A11" s="10" t="s">
        <v>368</v>
      </c>
      <c r="B11" t="s">
        <v>370</v>
      </c>
      <c r="C11" t="s">
        <v>373</v>
      </c>
    </row>
    <row r="12" spans="1:3" x14ac:dyDescent="0.35">
      <c r="A12" s="11" t="s">
        <v>246</v>
      </c>
      <c r="B12" s="3">
        <v>223450</v>
      </c>
      <c r="C12" s="3">
        <v>69450</v>
      </c>
    </row>
    <row r="13" spans="1:3" x14ac:dyDescent="0.35">
      <c r="A13" s="11" t="s">
        <v>254</v>
      </c>
      <c r="B13" s="3">
        <v>389050</v>
      </c>
      <c r="C13" s="3">
        <v>100050</v>
      </c>
    </row>
    <row r="14" spans="1:3" x14ac:dyDescent="0.35">
      <c r="A14" s="11" t="s">
        <v>250</v>
      </c>
      <c r="B14" s="3">
        <v>412800</v>
      </c>
      <c r="C14" s="3">
        <v>103200</v>
      </c>
    </row>
    <row r="15" spans="1:3" x14ac:dyDescent="0.35">
      <c r="A15" s="11" t="s">
        <v>258</v>
      </c>
      <c r="B15" s="3">
        <v>1351500</v>
      </c>
      <c r="C15" s="3">
        <v>318000</v>
      </c>
    </row>
    <row r="16" spans="1:3" x14ac:dyDescent="0.35">
      <c r="A16" s="11" t="s">
        <v>252</v>
      </c>
      <c r="B16" s="3">
        <v>190800</v>
      </c>
      <c r="C16" s="3">
        <v>55650</v>
      </c>
    </row>
    <row r="17" spans="1:3" x14ac:dyDescent="0.35">
      <c r="A17" s="11" t="s">
        <v>248</v>
      </c>
      <c r="B17" s="3">
        <v>13500</v>
      </c>
      <c r="C17" s="3">
        <v>4500</v>
      </c>
    </row>
    <row r="18" spans="1:3" x14ac:dyDescent="0.35">
      <c r="A18" s="11" t="s">
        <v>256</v>
      </c>
      <c r="B18" s="3">
        <v>86100</v>
      </c>
      <c r="C18" s="3">
        <v>27600</v>
      </c>
    </row>
    <row r="19" spans="1:3" x14ac:dyDescent="0.35">
      <c r="A19" s="11" t="s">
        <v>369</v>
      </c>
      <c r="B19" s="3">
        <v>2667200</v>
      </c>
      <c r="C19" s="3">
        <v>678450</v>
      </c>
    </row>
    <row r="21" spans="1:3" x14ac:dyDescent="0.35">
      <c r="A21" s="10" t="s">
        <v>368</v>
      </c>
      <c r="B21" t="s">
        <v>370</v>
      </c>
    </row>
    <row r="22" spans="1:3" x14ac:dyDescent="0.35">
      <c r="A22" s="11" t="s">
        <v>274</v>
      </c>
      <c r="B22" s="3">
        <v>628100</v>
      </c>
    </row>
    <row r="23" spans="1:3" x14ac:dyDescent="0.35">
      <c r="A23" s="11" t="s">
        <v>266</v>
      </c>
      <c r="B23" s="3">
        <v>1129580</v>
      </c>
    </row>
    <row r="24" spans="1:3" x14ac:dyDescent="0.35">
      <c r="A24" s="11" t="s">
        <v>269</v>
      </c>
      <c r="B24" s="3">
        <v>909520</v>
      </c>
    </row>
    <row r="25" spans="1:3" x14ac:dyDescent="0.35">
      <c r="A25" s="11" t="s">
        <v>369</v>
      </c>
      <c r="B25" s="3">
        <v>2667200</v>
      </c>
    </row>
    <row r="27" spans="1:3" x14ac:dyDescent="0.35">
      <c r="A27" s="10" t="s">
        <v>368</v>
      </c>
      <c r="B27" t="s">
        <v>370</v>
      </c>
    </row>
    <row r="28" spans="1:3" x14ac:dyDescent="0.35">
      <c r="A28" s="11" t="s">
        <v>376</v>
      </c>
      <c r="B28" s="3">
        <v>441140</v>
      </c>
    </row>
    <row r="29" spans="1:3" x14ac:dyDescent="0.35">
      <c r="A29" s="11" t="s">
        <v>378</v>
      </c>
      <c r="B29" s="3">
        <v>569950</v>
      </c>
    </row>
    <row r="30" spans="1:3" x14ac:dyDescent="0.35">
      <c r="A30" s="11" t="s">
        <v>377</v>
      </c>
      <c r="B30" s="3">
        <v>411850</v>
      </c>
    </row>
    <row r="31" spans="1:3" x14ac:dyDescent="0.35">
      <c r="A31" s="11" t="s">
        <v>374</v>
      </c>
      <c r="B31" s="3">
        <v>399110</v>
      </c>
    </row>
    <row r="32" spans="1:3" x14ac:dyDescent="0.35">
      <c r="A32" s="11" t="s">
        <v>372</v>
      </c>
      <c r="B32" s="3">
        <v>368800</v>
      </c>
    </row>
    <row r="33" spans="1:2" x14ac:dyDescent="0.35">
      <c r="A33" s="11" t="s">
        <v>375</v>
      </c>
      <c r="B33" s="3">
        <v>476350</v>
      </c>
    </row>
    <row r="34" spans="1:2" x14ac:dyDescent="0.35">
      <c r="A34" s="11" t="s">
        <v>369</v>
      </c>
      <c r="B34" s="3">
        <v>2667200</v>
      </c>
    </row>
    <row r="36" spans="1:2" x14ac:dyDescent="0.35">
      <c r="A36" s="10" t="s">
        <v>368</v>
      </c>
      <c r="B36" t="s">
        <v>370</v>
      </c>
    </row>
    <row r="37" spans="1:2" x14ac:dyDescent="0.35">
      <c r="A37" s="11" t="s">
        <v>257</v>
      </c>
      <c r="B37" s="3">
        <v>1351500</v>
      </c>
    </row>
    <row r="38" spans="1:2" x14ac:dyDescent="0.35">
      <c r="A38" s="11" t="s">
        <v>249</v>
      </c>
      <c r="B38" s="3">
        <v>412800</v>
      </c>
    </row>
    <row r="39" spans="1:2" x14ac:dyDescent="0.35">
      <c r="A39" s="11" t="s">
        <v>253</v>
      </c>
      <c r="B39" s="3">
        <v>272600</v>
      </c>
    </row>
    <row r="40" spans="1:2" x14ac:dyDescent="0.35">
      <c r="A40" s="11" t="s">
        <v>251</v>
      </c>
      <c r="B40" s="3">
        <v>190800</v>
      </c>
    </row>
    <row r="41" spans="1:2" x14ac:dyDescent="0.35">
      <c r="A41" s="11" t="s">
        <v>260</v>
      </c>
      <c r="B41" s="3">
        <v>172700</v>
      </c>
    </row>
    <row r="42" spans="1:2" x14ac:dyDescent="0.35">
      <c r="A42" s="11" t="s">
        <v>259</v>
      </c>
      <c r="B42" s="3">
        <v>116450</v>
      </c>
    </row>
    <row r="43" spans="1:2" x14ac:dyDescent="0.35">
      <c r="A43" s="11" t="s">
        <v>245</v>
      </c>
      <c r="B43" s="3">
        <v>50750</v>
      </c>
    </row>
    <row r="44" spans="1:2" x14ac:dyDescent="0.35">
      <c r="A44" s="11" t="s">
        <v>255</v>
      </c>
      <c r="B44" s="3">
        <v>43200</v>
      </c>
    </row>
    <row r="45" spans="1:2" x14ac:dyDescent="0.35">
      <c r="A45" s="11" t="s">
        <v>261</v>
      </c>
      <c r="B45" s="3">
        <v>42900</v>
      </c>
    </row>
    <row r="46" spans="1:2" x14ac:dyDescent="0.35">
      <c r="A46" s="11" t="s">
        <v>247</v>
      </c>
      <c r="B46" s="3">
        <v>13500</v>
      </c>
    </row>
    <row r="47" spans="1:2" x14ac:dyDescent="0.35">
      <c r="A47" s="11" t="s">
        <v>369</v>
      </c>
      <c r="B47" s="3">
        <v>2667200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B9C3A-1A1F-4FDA-8DE7-AD9A0304AA2C}">
  <sheetPr>
    <tabColor rgb="FF284612"/>
  </sheetPr>
  <dimension ref="A1:W101"/>
  <sheetViews>
    <sheetView tabSelected="1" zoomScale="62" zoomScaleNormal="124" workbookViewId="0"/>
  </sheetViews>
  <sheetFormatPr defaultRowHeight="14.5" x14ac:dyDescent="0.35"/>
  <cols>
    <col min="1" max="1" width="16.08984375" customWidth="1"/>
    <col min="2" max="2" width="13.08984375" customWidth="1"/>
    <col min="3" max="3" width="11.7265625" customWidth="1"/>
    <col min="4" max="4" width="14.1796875" customWidth="1"/>
    <col min="5" max="5" width="17.26953125" customWidth="1"/>
    <col min="6" max="6" width="9.36328125" customWidth="1"/>
    <col min="7" max="7" width="19.90625" customWidth="1"/>
    <col min="8" max="8" width="17.453125" customWidth="1"/>
    <col min="9" max="9" width="12.7265625" customWidth="1"/>
    <col min="10" max="10" width="21.7265625" bestFit="1" customWidth="1"/>
    <col min="11" max="11" width="21.7265625" customWidth="1"/>
    <col min="12" max="12" width="15.54296875" customWidth="1"/>
    <col min="13" max="13" width="16.453125" style="3" customWidth="1"/>
    <col min="14" max="14" width="16.7265625" style="3" customWidth="1"/>
    <col min="15" max="15" width="21" style="3" customWidth="1"/>
    <col min="16" max="16" width="17.1796875" style="3" customWidth="1"/>
    <col min="17" max="17" width="12.6328125" style="3" customWidth="1"/>
    <col min="18" max="18" width="18.453125" style="4" customWidth="1"/>
    <col min="19" max="19" width="17.54296875" customWidth="1"/>
    <col min="20" max="20" width="18.6328125" customWidth="1"/>
    <col min="21" max="21" width="10.08984375" customWidth="1"/>
    <col min="22" max="22" width="18.453125" bestFit="1" customWidth="1"/>
    <col min="23" max="23" width="10.453125" bestFit="1" customWidth="1"/>
  </cols>
  <sheetData>
    <row r="1" spans="1:23" x14ac:dyDescent="0.35">
      <c r="A1" s="5" t="s">
        <v>0</v>
      </c>
      <c r="B1" s="6" t="s">
        <v>1</v>
      </c>
      <c r="C1" s="6" t="s">
        <v>371</v>
      </c>
      <c r="D1" s="5" t="s">
        <v>2</v>
      </c>
      <c r="E1" s="5" t="s">
        <v>262</v>
      </c>
      <c r="F1" s="5" t="s">
        <v>3</v>
      </c>
      <c r="G1" s="5" t="s">
        <v>263</v>
      </c>
      <c r="H1" s="5" t="s">
        <v>264</v>
      </c>
      <c r="I1" s="5" t="s">
        <v>4</v>
      </c>
      <c r="J1" s="5" t="s">
        <v>290</v>
      </c>
      <c r="K1" s="5" t="s">
        <v>244</v>
      </c>
      <c r="L1" s="5" t="s">
        <v>5</v>
      </c>
      <c r="M1" s="7" t="s">
        <v>6</v>
      </c>
      <c r="N1" s="7" t="s">
        <v>7</v>
      </c>
      <c r="O1" s="7" t="s">
        <v>8</v>
      </c>
      <c r="P1" s="7" t="s">
        <v>9</v>
      </c>
      <c r="Q1" s="7" t="s">
        <v>10</v>
      </c>
      <c r="R1" s="8" t="s">
        <v>11</v>
      </c>
      <c r="S1" s="5" t="s">
        <v>12</v>
      </c>
      <c r="T1" s="9" t="s">
        <v>13</v>
      </c>
      <c r="U1" t="s">
        <v>382</v>
      </c>
      <c r="V1" t="s">
        <v>383</v>
      </c>
      <c r="W1" t="s">
        <v>384</v>
      </c>
    </row>
    <row r="2" spans="1:23" x14ac:dyDescent="0.35">
      <c r="A2" t="s">
        <v>14</v>
      </c>
      <c r="B2" s="2" t="s">
        <v>291</v>
      </c>
      <c r="C2" s="2" t="s">
        <v>374</v>
      </c>
      <c r="D2" t="s">
        <v>16</v>
      </c>
      <c r="E2" t="s">
        <v>265</v>
      </c>
      <c r="F2" t="s">
        <v>24</v>
      </c>
      <c r="G2" t="s">
        <v>266</v>
      </c>
      <c r="H2" t="s">
        <v>267</v>
      </c>
      <c r="I2" t="s">
        <v>18</v>
      </c>
      <c r="J2" t="str">
        <f>VLOOKUP(I2,Product_Catalog!$A$1:$E$11,2,FALSE)</f>
        <v>Whole Milk Powder 400g</v>
      </c>
      <c r="K2" t="s">
        <v>250</v>
      </c>
      <c r="L2">
        <v>21</v>
      </c>
      <c r="M2" s="3">
        <v>1800</v>
      </c>
      <c r="N2" s="3">
        <v>2400</v>
      </c>
      <c r="O2" s="3">
        <v>50400</v>
      </c>
      <c r="P2" s="3">
        <v>37800</v>
      </c>
      <c r="Q2" s="3">
        <v>12600</v>
      </c>
      <c r="R2" s="4">
        <v>0.25</v>
      </c>
      <c r="S2" t="s">
        <v>48</v>
      </c>
      <c r="T2" t="s">
        <v>44</v>
      </c>
    </row>
    <row r="3" spans="1:23" x14ac:dyDescent="0.35">
      <c r="A3" t="s">
        <v>21</v>
      </c>
      <c r="B3" s="2" t="s">
        <v>292</v>
      </c>
      <c r="C3" s="2" t="s">
        <v>375</v>
      </c>
      <c r="D3" t="s">
        <v>23</v>
      </c>
      <c r="E3" t="s">
        <v>283</v>
      </c>
      <c r="F3" t="s">
        <v>24</v>
      </c>
      <c r="G3" t="s">
        <v>266</v>
      </c>
      <c r="H3" t="s">
        <v>270</v>
      </c>
      <c r="I3" t="s">
        <v>25</v>
      </c>
      <c r="J3" t="str">
        <f>VLOOKUP(I3,Product_Catalog!$A$1:$E$11,2,FALSE)</f>
        <v>Vegetable Oil 1L</v>
      </c>
      <c r="K3" t="s">
        <v>254</v>
      </c>
      <c r="L3">
        <v>4</v>
      </c>
      <c r="M3" s="3">
        <v>2200</v>
      </c>
      <c r="N3" s="3">
        <v>2900</v>
      </c>
      <c r="O3" s="3">
        <v>11600</v>
      </c>
      <c r="P3" s="3">
        <v>8800</v>
      </c>
      <c r="Q3" s="3">
        <v>2800</v>
      </c>
      <c r="R3" s="4">
        <v>0.2413793103448276</v>
      </c>
      <c r="S3" t="s">
        <v>26</v>
      </c>
      <c r="T3" t="s">
        <v>366</v>
      </c>
    </row>
    <row r="4" spans="1:23" x14ac:dyDescent="0.35">
      <c r="A4" t="s">
        <v>28</v>
      </c>
      <c r="B4" s="2" t="s">
        <v>293</v>
      </c>
      <c r="C4" s="2" t="s">
        <v>374</v>
      </c>
      <c r="D4" t="s">
        <v>23</v>
      </c>
      <c r="E4" t="s">
        <v>283</v>
      </c>
      <c r="F4" t="s">
        <v>24</v>
      </c>
      <c r="G4" t="s">
        <v>266</v>
      </c>
      <c r="H4" t="s">
        <v>270</v>
      </c>
      <c r="I4" t="s">
        <v>30</v>
      </c>
      <c r="J4" t="str">
        <f>VLOOKUP(I4,Product_Catalog!$A$1:$E$11,2,FALSE)</f>
        <v>Basmati Rice 5kg</v>
      </c>
      <c r="K4" t="s">
        <v>258</v>
      </c>
      <c r="L4">
        <v>1</v>
      </c>
      <c r="M4" s="3">
        <v>6500</v>
      </c>
      <c r="N4" s="3">
        <v>8500</v>
      </c>
      <c r="O4" s="3">
        <v>8500</v>
      </c>
      <c r="P4" s="3">
        <v>6500</v>
      </c>
      <c r="Q4" s="3">
        <v>2000</v>
      </c>
      <c r="R4" s="4">
        <v>0.23529411764705882</v>
      </c>
      <c r="S4" t="s">
        <v>31</v>
      </c>
      <c r="T4" t="s">
        <v>367</v>
      </c>
      <c r="U4">
        <f>COUNTA(A2:A101)</f>
        <v>100</v>
      </c>
    </row>
    <row r="5" spans="1:23" x14ac:dyDescent="0.35">
      <c r="A5" t="s">
        <v>33</v>
      </c>
      <c r="B5" s="2" t="s">
        <v>294</v>
      </c>
      <c r="C5" s="2" t="s">
        <v>376</v>
      </c>
      <c r="D5" t="s">
        <v>35</v>
      </c>
      <c r="E5" t="s">
        <v>286</v>
      </c>
      <c r="F5" t="s">
        <v>24</v>
      </c>
      <c r="G5" t="s">
        <v>266</v>
      </c>
      <c r="H5" t="s">
        <v>275</v>
      </c>
      <c r="I5" t="s">
        <v>36</v>
      </c>
      <c r="J5" t="str">
        <f>VLOOKUP(I5,Product_Catalog!$A$1:$E$11,2,FALSE)</f>
        <v>Fruit Juice 1L</v>
      </c>
      <c r="K5" t="s">
        <v>246</v>
      </c>
      <c r="L5">
        <v>24</v>
      </c>
      <c r="M5" s="3">
        <v>750</v>
      </c>
      <c r="N5" s="3">
        <v>1100</v>
      </c>
      <c r="O5" s="3">
        <v>26400</v>
      </c>
      <c r="P5" s="3">
        <v>18000</v>
      </c>
      <c r="Q5" s="3">
        <v>8400</v>
      </c>
      <c r="R5" s="4">
        <v>0.31818181818181818</v>
      </c>
      <c r="S5" t="s">
        <v>37</v>
      </c>
      <c r="T5" t="s">
        <v>38</v>
      </c>
    </row>
    <row r="6" spans="1:23" x14ac:dyDescent="0.35">
      <c r="A6" t="s">
        <v>39</v>
      </c>
      <c r="B6" s="2" t="s">
        <v>295</v>
      </c>
      <c r="C6" s="2" t="s">
        <v>374</v>
      </c>
      <c r="D6" t="s">
        <v>41</v>
      </c>
      <c r="E6" t="s">
        <v>282</v>
      </c>
      <c r="F6" t="s">
        <v>42</v>
      </c>
      <c r="G6" t="s">
        <v>274</v>
      </c>
      <c r="H6" t="s">
        <v>267</v>
      </c>
      <c r="I6" t="s">
        <v>30</v>
      </c>
      <c r="J6" t="str">
        <f>VLOOKUP(I6,Product_Catalog!$A$1:$E$11,2,FALSE)</f>
        <v>Basmati Rice 5kg</v>
      </c>
      <c r="K6" t="s">
        <v>258</v>
      </c>
      <c r="L6">
        <v>9</v>
      </c>
      <c r="M6" s="3">
        <v>6500</v>
      </c>
      <c r="N6" s="3">
        <v>8500</v>
      </c>
      <c r="O6" s="3">
        <v>76500</v>
      </c>
      <c r="P6" s="3">
        <v>58500</v>
      </c>
      <c r="Q6" s="3">
        <v>18000</v>
      </c>
      <c r="R6" s="4">
        <v>0.23529411764705882</v>
      </c>
      <c r="S6" t="s">
        <v>43</v>
      </c>
      <c r="T6" t="s">
        <v>44</v>
      </c>
    </row>
    <row r="7" spans="1:23" x14ac:dyDescent="0.35">
      <c r="A7" t="s">
        <v>45</v>
      </c>
      <c r="B7" s="2" t="s">
        <v>296</v>
      </c>
      <c r="C7" s="2" t="s">
        <v>377</v>
      </c>
      <c r="D7" t="s">
        <v>35</v>
      </c>
      <c r="E7" t="s">
        <v>286</v>
      </c>
      <c r="F7" t="s">
        <v>24</v>
      </c>
      <c r="G7" t="s">
        <v>266</v>
      </c>
      <c r="H7" t="s">
        <v>275</v>
      </c>
      <c r="I7" t="s">
        <v>47</v>
      </c>
      <c r="J7" t="str">
        <f>VLOOKUP(I7,Product_Catalog!$A$1:$E$11,2,FALSE)</f>
        <v>Tomato Paste 400g</v>
      </c>
      <c r="K7" t="s">
        <v>254</v>
      </c>
      <c r="L7">
        <v>8</v>
      </c>
      <c r="M7" s="3">
        <v>600</v>
      </c>
      <c r="N7" s="3">
        <v>850</v>
      </c>
      <c r="O7" s="3">
        <v>6800</v>
      </c>
      <c r="P7" s="3">
        <v>4800</v>
      </c>
      <c r="Q7" s="3">
        <v>2000</v>
      </c>
      <c r="R7" s="4">
        <v>0.29411764705882354</v>
      </c>
      <c r="S7" t="s">
        <v>48</v>
      </c>
      <c r="T7" t="s">
        <v>366</v>
      </c>
      <c r="V7" t="s">
        <v>379</v>
      </c>
      <c r="W7" s="4">
        <f>AVERAGE(R:R)</f>
        <v>0.28351927315416137</v>
      </c>
    </row>
    <row r="8" spans="1:23" x14ac:dyDescent="0.35">
      <c r="A8" t="s">
        <v>49</v>
      </c>
      <c r="B8" s="2" t="s">
        <v>297</v>
      </c>
      <c r="C8" s="2" t="s">
        <v>376</v>
      </c>
      <c r="D8" t="s">
        <v>16</v>
      </c>
      <c r="E8" t="s">
        <v>265</v>
      </c>
      <c r="F8" t="s">
        <v>24</v>
      </c>
      <c r="G8" t="s">
        <v>266</v>
      </c>
      <c r="H8" t="s">
        <v>267</v>
      </c>
      <c r="I8" t="s">
        <v>51</v>
      </c>
      <c r="J8" t="str">
        <f>VLOOKUP(I8,Product_Catalog!$A$1:$E$11,2,FALSE)</f>
        <v>Instant Noodles 70g</v>
      </c>
      <c r="K8" t="s">
        <v>248</v>
      </c>
      <c r="L8">
        <v>8</v>
      </c>
      <c r="M8" s="3">
        <v>120</v>
      </c>
      <c r="N8" s="3">
        <v>180</v>
      </c>
      <c r="O8" s="3">
        <v>1440</v>
      </c>
      <c r="P8" s="3">
        <v>960</v>
      </c>
      <c r="Q8" s="3">
        <v>480</v>
      </c>
      <c r="R8" s="4">
        <v>0.33333333333333331</v>
      </c>
      <c r="S8" t="s">
        <v>26</v>
      </c>
      <c r="T8" t="s">
        <v>367</v>
      </c>
      <c r="V8" t="s">
        <v>380</v>
      </c>
      <c r="W8">
        <f>SUM(L:L)</f>
        <v>1260</v>
      </c>
    </row>
    <row r="9" spans="1:23" x14ac:dyDescent="0.35">
      <c r="A9" t="s">
        <v>52</v>
      </c>
      <c r="B9" s="2" t="s">
        <v>291</v>
      </c>
      <c r="C9" s="2" t="s">
        <v>374</v>
      </c>
      <c r="D9" t="s">
        <v>53</v>
      </c>
      <c r="E9" t="s">
        <v>279</v>
      </c>
      <c r="F9" t="s">
        <v>24</v>
      </c>
      <c r="G9" t="s">
        <v>266</v>
      </c>
      <c r="H9" t="s">
        <v>272</v>
      </c>
      <c r="I9" t="s">
        <v>30</v>
      </c>
      <c r="J9" t="str">
        <f>VLOOKUP(I9,Product_Catalog!$A$1:$E$11,2,FALSE)</f>
        <v>Basmati Rice 5kg</v>
      </c>
      <c r="K9" t="s">
        <v>258</v>
      </c>
      <c r="L9">
        <v>5</v>
      </c>
      <c r="M9" s="3">
        <v>6500</v>
      </c>
      <c r="N9" s="3">
        <v>8500</v>
      </c>
      <c r="O9" s="3">
        <v>42500</v>
      </c>
      <c r="P9" s="3">
        <v>32500</v>
      </c>
      <c r="Q9" s="3">
        <v>10000</v>
      </c>
      <c r="R9" s="4">
        <v>0.23529411764705882</v>
      </c>
      <c r="S9" t="s">
        <v>31</v>
      </c>
      <c r="T9" t="s">
        <v>38</v>
      </c>
      <c r="V9" t="s">
        <v>381</v>
      </c>
      <c r="W9">
        <f>COUNTA(A2:A101)</f>
        <v>100</v>
      </c>
    </row>
    <row r="10" spans="1:23" x14ac:dyDescent="0.35">
      <c r="A10" t="s">
        <v>55</v>
      </c>
      <c r="B10" s="2" t="s">
        <v>298</v>
      </c>
      <c r="C10" s="2" t="s">
        <v>372</v>
      </c>
      <c r="D10" t="s">
        <v>57</v>
      </c>
      <c r="E10" t="s">
        <v>276</v>
      </c>
      <c r="F10" t="s">
        <v>24</v>
      </c>
      <c r="G10" t="s">
        <v>266</v>
      </c>
      <c r="H10" t="s">
        <v>267</v>
      </c>
      <c r="I10" t="s">
        <v>47</v>
      </c>
      <c r="J10" t="str">
        <f>VLOOKUP(I10,Product_Catalog!$A$1:$E$11,2,FALSE)</f>
        <v>Tomato Paste 400g</v>
      </c>
      <c r="K10" t="s">
        <v>254</v>
      </c>
      <c r="L10">
        <v>24</v>
      </c>
      <c r="M10" s="3">
        <v>600</v>
      </c>
      <c r="N10" s="3">
        <v>850</v>
      </c>
      <c r="O10" s="3">
        <v>20400</v>
      </c>
      <c r="P10" s="3">
        <v>14400</v>
      </c>
      <c r="Q10" s="3">
        <v>6000</v>
      </c>
      <c r="R10" s="4">
        <v>0.29411764705882354</v>
      </c>
      <c r="S10" t="s">
        <v>37</v>
      </c>
      <c r="T10" t="s">
        <v>44</v>
      </c>
      <c r="W10" s="3"/>
    </row>
    <row r="11" spans="1:23" x14ac:dyDescent="0.35">
      <c r="A11" t="s">
        <v>58</v>
      </c>
      <c r="B11" s="2" t="s">
        <v>299</v>
      </c>
      <c r="C11" s="2" t="s">
        <v>377</v>
      </c>
      <c r="D11" t="s">
        <v>35</v>
      </c>
      <c r="E11" t="s">
        <v>286</v>
      </c>
      <c r="F11" t="s">
        <v>24</v>
      </c>
      <c r="G11" t="s">
        <v>266</v>
      </c>
      <c r="H11" t="s">
        <v>275</v>
      </c>
      <c r="I11" t="s">
        <v>18</v>
      </c>
      <c r="J11" t="str">
        <f>VLOOKUP(I11,Product_Catalog!$A$1:$E$11,2,FALSE)</f>
        <v>Whole Milk Powder 400g</v>
      </c>
      <c r="K11" t="s">
        <v>250</v>
      </c>
      <c r="L11">
        <v>4</v>
      </c>
      <c r="M11" s="3">
        <v>1800</v>
      </c>
      <c r="N11" s="3">
        <v>2400</v>
      </c>
      <c r="O11" s="3">
        <v>9600</v>
      </c>
      <c r="P11" s="3">
        <v>7200</v>
      </c>
      <c r="Q11" s="3">
        <v>2400</v>
      </c>
      <c r="R11" s="4">
        <v>0.25</v>
      </c>
      <c r="S11" t="s">
        <v>43</v>
      </c>
      <c r="T11" t="s">
        <v>366</v>
      </c>
    </row>
    <row r="12" spans="1:23" x14ac:dyDescent="0.35">
      <c r="A12" t="s">
        <v>61</v>
      </c>
      <c r="B12" s="2" t="s">
        <v>300</v>
      </c>
      <c r="C12" s="2" t="s">
        <v>377</v>
      </c>
      <c r="D12" t="s">
        <v>63</v>
      </c>
      <c r="E12" t="s">
        <v>277</v>
      </c>
      <c r="F12" t="s">
        <v>42</v>
      </c>
      <c r="G12" t="s">
        <v>269</v>
      </c>
      <c r="H12" t="s">
        <v>278</v>
      </c>
      <c r="I12" t="s">
        <v>47</v>
      </c>
      <c r="J12" t="str">
        <f>VLOOKUP(I12,Product_Catalog!$A$1:$E$11,2,FALSE)</f>
        <v>Tomato Paste 400g</v>
      </c>
      <c r="K12" t="s">
        <v>254</v>
      </c>
      <c r="L12">
        <v>22</v>
      </c>
      <c r="M12" s="3">
        <v>600</v>
      </c>
      <c r="N12" s="3">
        <v>850</v>
      </c>
      <c r="O12" s="3">
        <v>18700</v>
      </c>
      <c r="P12" s="3">
        <v>13200</v>
      </c>
      <c r="Q12" s="3">
        <v>5500</v>
      </c>
      <c r="R12" s="4">
        <v>0.29411764705882354</v>
      </c>
      <c r="S12" t="s">
        <v>48</v>
      </c>
      <c r="T12" t="s">
        <v>367</v>
      </c>
    </row>
    <row r="13" spans="1:23" x14ac:dyDescent="0.35">
      <c r="A13" t="s">
        <v>64</v>
      </c>
      <c r="B13" s="2" t="s">
        <v>301</v>
      </c>
      <c r="C13" s="2" t="s">
        <v>374</v>
      </c>
      <c r="D13" t="s">
        <v>16</v>
      </c>
      <c r="E13" t="s">
        <v>265</v>
      </c>
      <c r="F13" t="s">
        <v>24</v>
      </c>
      <c r="G13" t="s">
        <v>266</v>
      </c>
      <c r="H13" t="s">
        <v>267</v>
      </c>
      <c r="I13" t="s">
        <v>18</v>
      </c>
      <c r="J13" t="str">
        <f>VLOOKUP(I13,Product_Catalog!$A$1:$E$11,2,FALSE)</f>
        <v>Whole Milk Powder 400g</v>
      </c>
      <c r="K13" t="s">
        <v>250</v>
      </c>
      <c r="L13">
        <v>24</v>
      </c>
      <c r="M13" s="3">
        <v>1800</v>
      </c>
      <c r="N13" s="3">
        <v>2400</v>
      </c>
      <c r="O13" s="3">
        <v>57600</v>
      </c>
      <c r="P13" s="3">
        <v>43200</v>
      </c>
      <c r="Q13" s="3">
        <v>14400</v>
      </c>
      <c r="R13" s="4">
        <v>0.25</v>
      </c>
      <c r="S13" t="s">
        <v>26</v>
      </c>
      <c r="T13" t="s">
        <v>38</v>
      </c>
    </row>
    <row r="14" spans="1:23" x14ac:dyDescent="0.35">
      <c r="A14" t="s">
        <v>67</v>
      </c>
      <c r="B14" s="2" t="s">
        <v>302</v>
      </c>
      <c r="C14" s="2" t="s">
        <v>374</v>
      </c>
      <c r="D14" t="s">
        <v>57</v>
      </c>
      <c r="E14" t="s">
        <v>276</v>
      </c>
      <c r="F14" t="s">
        <v>24</v>
      </c>
      <c r="G14" t="s">
        <v>266</v>
      </c>
      <c r="H14" t="s">
        <v>267</v>
      </c>
      <c r="I14" t="s">
        <v>18</v>
      </c>
      <c r="J14" t="str">
        <f>VLOOKUP(I14,Product_Catalog!$A$1:$E$11,2,FALSE)</f>
        <v>Whole Milk Powder 400g</v>
      </c>
      <c r="K14" t="s">
        <v>250</v>
      </c>
      <c r="L14">
        <v>18</v>
      </c>
      <c r="M14" s="3">
        <v>1800</v>
      </c>
      <c r="N14" s="3">
        <v>2400</v>
      </c>
      <c r="O14" s="3">
        <v>43200</v>
      </c>
      <c r="P14" s="3">
        <v>32400</v>
      </c>
      <c r="Q14" s="3">
        <v>10800</v>
      </c>
      <c r="R14" s="4">
        <v>0.25</v>
      </c>
      <c r="S14" t="s">
        <v>31</v>
      </c>
      <c r="T14" t="s">
        <v>44</v>
      </c>
    </row>
    <row r="15" spans="1:23" x14ac:dyDescent="0.35">
      <c r="A15" t="s">
        <v>69</v>
      </c>
      <c r="B15" s="2" t="s">
        <v>303</v>
      </c>
      <c r="C15" s="2" t="s">
        <v>374</v>
      </c>
      <c r="D15" t="s">
        <v>16</v>
      </c>
      <c r="E15" t="s">
        <v>265</v>
      </c>
      <c r="F15" t="s">
        <v>24</v>
      </c>
      <c r="G15" t="s">
        <v>266</v>
      </c>
      <c r="H15" t="s">
        <v>267</v>
      </c>
      <c r="I15" t="s">
        <v>18</v>
      </c>
      <c r="J15" t="str">
        <f>VLOOKUP(I15,Product_Catalog!$A$1:$E$11,2,FALSE)</f>
        <v>Whole Milk Powder 400g</v>
      </c>
      <c r="K15" t="s">
        <v>250</v>
      </c>
      <c r="L15">
        <v>3</v>
      </c>
      <c r="M15" s="3">
        <v>1800</v>
      </c>
      <c r="N15" s="3">
        <v>2400</v>
      </c>
      <c r="O15" s="3">
        <v>7200</v>
      </c>
      <c r="P15" s="3">
        <v>5400</v>
      </c>
      <c r="Q15" s="3">
        <v>1800</v>
      </c>
      <c r="R15" s="4">
        <v>0.25</v>
      </c>
      <c r="S15" t="s">
        <v>37</v>
      </c>
      <c r="T15" t="s">
        <v>366</v>
      </c>
    </row>
    <row r="16" spans="1:23" x14ac:dyDescent="0.35">
      <c r="A16" t="s">
        <v>71</v>
      </c>
      <c r="B16" s="2" t="s">
        <v>304</v>
      </c>
      <c r="C16" s="2" t="s">
        <v>375</v>
      </c>
      <c r="D16" t="s">
        <v>23</v>
      </c>
      <c r="E16" t="s">
        <v>283</v>
      </c>
      <c r="F16" t="s">
        <v>24</v>
      </c>
      <c r="G16" t="s">
        <v>266</v>
      </c>
      <c r="H16" t="s">
        <v>270</v>
      </c>
      <c r="I16" t="s">
        <v>25</v>
      </c>
      <c r="J16" t="str">
        <f>VLOOKUP(I16,Product_Catalog!$A$1:$E$11,2,FALSE)</f>
        <v>Vegetable Oil 1L</v>
      </c>
      <c r="K16" t="s">
        <v>254</v>
      </c>
      <c r="L16">
        <v>19</v>
      </c>
      <c r="M16" s="3">
        <v>2200</v>
      </c>
      <c r="N16" s="3">
        <v>2900</v>
      </c>
      <c r="O16" s="3">
        <v>55100</v>
      </c>
      <c r="P16" s="3">
        <v>41800</v>
      </c>
      <c r="Q16" s="3">
        <v>13300</v>
      </c>
      <c r="R16" s="4">
        <v>0.2413793103448276</v>
      </c>
      <c r="S16" t="s">
        <v>43</v>
      </c>
      <c r="T16" t="s">
        <v>367</v>
      </c>
    </row>
    <row r="17" spans="1:20" x14ac:dyDescent="0.35">
      <c r="A17" t="s">
        <v>74</v>
      </c>
      <c r="B17" s="2" t="s">
        <v>305</v>
      </c>
      <c r="C17" s="2" t="s">
        <v>372</v>
      </c>
      <c r="D17" t="s">
        <v>76</v>
      </c>
      <c r="E17" t="s">
        <v>289</v>
      </c>
      <c r="F17" t="s">
        <v>24</v>
      </c>
      <c r="G17" t="s">
        <v>269</v>
      </c>
      <c r="H17" t="s">
        <v>281</v>
      </c>
      <c r="I17" t="s">
        <v>30</v>
      </c>
      <c r="J17" t="str">
        <f>VLOOKUP(I17,Product_Catalog!$A$1:$E$11,2,FALSE)</f>
        <v>Basmati Rice 5kg</v>
      </c>
      <c r="K17" t="s">
        <v>258</v>
      </c>
      <c r="L17">
        <v>14</v>
      </c>
      <c r="M17" s="3">
        <v>6500</v>
      </c>
      <c r="N17" s="3">
        <v>8500</v>
      </c>
      <c r="O17" s="3">
        <v>119000</v>
      </c>
      <c r="P17" s="3">
        <v>91000</v>
      </c>
      <c r="Q17" s="3">
        <v>28000</v>
      </c>
      <c r="R17" s="4">
        <v>0.23529411764705882</v>
      </c>
      <c r="S17" t="s">
        <v>48</v>
      </c>
      <c r="T17" t="s">
        <v>38</v>
      </c>
    </row>
    <row r="18" spans="1:20" x14ac:dyDescent="0.35">
      <c r="A18" t="s">
        <v>77</v>
      </c>
      <c r="B18" s="2" t="s">
        <v>306</v>
      </c>
      <c r="C18" s="2" t="s">
        <v>372</v>
      </c>
      <c r="D18" t="s">
        <v>79</v>
      </c>
      <c r="E18" t="s">
        <v>284</v>
      </c>
      <c r="F18" t="s">
        <v>42</v>
      </c>
      <c r="G18" t="s">
        <v>269</v>
      </c>
      <c r="H18" t="s">
        <v>285</v>
      </c>
      <c r="I18" t="s">
        <v>30</v>
      </c>
      <c r="J18" t="str">
        <f>VLOOKUP(I18,Product_Catalog!$A$1:$E$11,2,FALSE)</f>
        <v>Basmati Rice 5kg</v>
      </c>
      <c r="K18" t="s">
        <v>258</v>
      </c>
      <c r="L18">
        <v>2</v>
      </c>
      <c r="M18" s="3">
        <v>6500</v>
      </c>
      <c r="N18" s="3">
        <v>8500</v>
      </c>
      <c r="O18" s="3">
        <v>17000</v>
      </c>
      <c r="P18" s="3">
        <v>13000</v>
      </c>
      <c r="Q18" s="3">
        <v>4000</v>
      </c>
      <c r="R18" s="4">
        <v>0.23529411764705882</v>
      </c>
      <c r="S18" t="s">
        <v>26</v>
      </c>
      <c r="T18" t="s">
        <v>44</v>
      </c>
    </row>
    <row r="19" spans="1:20" x14ac:dyDescent="0.35">
      <c r="A19" t="s">
        <v>80</v>
      </c>
      <c r="B19" s="2" t="s">
        <v>307</v>
      </c>
      <c r="C19" s="2" t="s">
        <v>378</v>
      </c>
      <c r="D19" t="s">
        <v>76</v>
      </c>
      <c r="E19" t="s">
        <v>289</v>
      </c>
      <c r="F19" t="s">
        <v>24</v>
      </c>
      <c r="G19" t="s">
        <v>269</v>
      </c>
      <c r="H19" t="s">
        <v>281</v>
      </c>
      <c r="I19" t="s">
        <v>36</v>
      </c>
      <c r="J19" t="str">
        <f>VLOOKUP(I19,Product_Catalog!$A$1:$E$11,2,FALSE)</f>
        <v>Fruit Juice 1L</v>
      </c>
      <c r="K19" t="s">
        <v>246</v>
      </c>
      <c r="L19">
        <v>1</v>
      </c>
      <c r="M19" s="3">
        <v>750</v>
      </c>
      <c r="N19" s="3">
        <v>1100</v>
      </c>
      <c r="O19" s="3">
        <v>1100</v>
      </c>
      <c r="P19" s="3">
        <v>750</v>
      </c>
      <c r="Q19" s="3">
        <v>350</v>
      </c>
      <c r="R19" s="4">
        <v>0.31818181818181818</v>
      </c>
      <c r="S19" t="s">
        <v>31</v>
      </c>
      <c r="T19" t="s">
        <v>366</v>
      </c>
    </row>
    <row r="20" spans="1:20" x14ac:dyDescent="0.35">
      <c r="A20" t="s">
        <v>83</v>
      </c>
      <c r="B20" s="2" t="s">
        <v>308</v>
      </c>
      <c r="C20" s="2" t="s">
        <v>376</v>
      </c>
      <c r="D20" t="s">
        <v>23</v>
      </c>
      <c r="E20" t="s">
        <v>283</v>
      </c>
      <c r="F20" t="s">
        <v>24</v>
      </c>
      <c r="G20" t="s">
        <v>266</v>
      </c>
      <c r="H20" t="s">
        <v>270</v>
      </c>
      <c r="I20" t="s">
        <v>85</v>
      </c>
      <c r="J20" t="str">
        <f>VLOOKUP(I20,Product_Catalog!$A$1:$E$11,2,FALSE)</f>
        <v>Toothpaste 140g</v>
      </c>
      <c r="K20" t="s">
        <v>256</v>
      </c>
      <c r="L20">
        <v>3</v>
      </c>
      <c r="M20" s="3">
        <v>450</v>
      </c>
      <c r="N20" s="3">
        <v>650</v>
      </c>
      <c r="O20" s="3">
        <v>1950</v>
      </c>
      <c r="P20" s="3">
        <v>1350</v>
      </c>
      <c r="Q20" s="3">
        <v>600</v>
      </c>
      <c r="R20" s="4">
        <v>0.30769230769230771</v>
      </c>
      <c r="S20" t="s">
        <v>37</v>
      </c>
      <c r="T20" t="s">
        <v>367</v>
      </c>
    </row>
    <row r="21" spans="1:20" x14ac:dyDescent="0.35">
      <c r="A21" t="s">
        <v>87</v>
      </c>
      <c r="B21" s="2" t="s">
        <v>300</v>
      </c>
      <c r="C21" s="2" t="s">
        <v>377</v>
      </c>
      <c r="D21" t="s">
        <v>76</v>
      </c>
      <c r="E21" t="s">
        <v>289</v>
      </c>
      <c r="F21" t="s">
        <v>24</v>
      </c>
      <c r="G21" t="s">
        <v>269</v>
      </c>
      <c r="H21" t="s">
        <v>281</v>
      </c>
      <c r="I21" t="s">
        <v>18</v>
      </c>
      <c r="J21" t="str">
        <f>VLOOKUP(I21,Product_Catalog!$A$1:$E$11,2,FALSE)</f>
        <v>Whole Milk Powder 400g</v>
      </c>
      <c r="K21" t="s">
        <v>250</v>
      </c>
      <c r="L21">
        <v>7</v>
      </c>
      <c r="M21" s="3">
        <v>1800</v>
      </c>
      <c r="N21" s="3">
        <v>2400</v>
      </c>
      <c r="O21" s="3">
        <v>16800</v>
      </c>
      <c r="P21" s="3">
        <v>12600</v>
      </c>
      <c r="Q21" s="3">
        <v>4200</v>
      </c>
      <c r="R21" s="4">
        <v>0.25</v>
      </c>
      <c r="S21" t="s">
        <v>43</v>
      </c>
      <c r="T21" t="s">
        <v>38</v>
      </c>
    </row>
    <row r="22" spans="1:20" x14ac:dyDescent="0.35">
      <c r="A22" t="s">
        <v>88</v>
      </c>
      <c r="B22" s="2" t="s">
        <v>309</v>
      </c>
      <c r="C22" s="2" t="s">
        <v>375</v>
      </c>
      <c r="D22" t="s">
        <v>16</v>
      </c>
      <c r="E22" t="s">
        <v>265</v>
      </c>
      <c r="F22" t="s">
        <v>24</v>
      </c>
      <c r="G22" t="s">
        <v>266</v>
      </c>
      <c r="H22" t="s">
        <v>267</v>
      </c>
      <c r="I22" t="s">
        <v>30</v>
      </c>
      <c r="J22" t="str">
        <f>VLOOKUP(I22,Product_Catalog!$A$1:$E$11,2,FALSE)</f>
        <v>Basmati Rice 5kg</v>
      </c>
      <c r="K22" t="s">
        <v>258</v>
      </c>
      <c r="L22">
        <v>8</v>
      </c>
      <c r="M22" s="3">
        <v>6500</v>
      </c>
      <c r="N22" s="3">
        <v>8500</v>
      </c>
      <c r="O22" s="3">
        <v>68000</v>
      </c>
      <c r="P22" s="3">
        <v>52000</v>
      </c>
      <c r="Q22" s="3">
        <v>16000</v>
      </c>
      <c r="R22" s="4">
        <v>0.23529411764705882</v>
      </c>
      <c r="S22" t="s">
        <v>48</v>
      </c>
      <c r="T22" t="s">
        <v>44</v>
      </c>
    </row>
    <row r="23" spans="1:20" x14ac:dyDescent="0.35">
      <c r="A23" t="s">
        <v>90</v>
      </c>
      <c r="B23" s="2" t="s">
        <v>310</v>
      </c>
      <c r="C23" s="2" t="s">
        <v>378</v>
      </c>
      <c r="D23" t="s">
        <v>92</v>
      </c>
      <c r="E23" t="s">
        <v>287</v>
      </c>
      <c r="F23" t="s">
        <v>42</v>
      </c>
      <c r="G23" t="s">
        <v>274</v>
      </c>
      <c r="H23" t="s">
        <v>267</v>
      </c>
      <c r="I23" t="s">
        <v>93</v>
      </c>
      <c r="J23" t="str">
        <f>VLOOKUP(I23,Product_Catalog!$A$1:$E$11,2,FALSE)</f>
        <v>Laundry Detergent 1kg</v>
      </c>
      <c r="K23" t="s">
        <v>252</v>
      </c>
      <c r="L23">
        <v>17</v>
      </c>
      <c r="M23" s="3">
        <v>850</v>
      </c>
      <c r="N23" s="3">
        <v>1200</v>
      </c>
      <c r="O23" s="3">
        <v>20400</v>
      </c>
      <c r="P23" s="3">
        <v>14450</v>
      </c>
      <c r="Q23" s="3">
        <v>5950</v>
      </c>
      <c r="R23" s="4">
        <v>0.29166666666666669</v>
      </c>
      <c r="S23" t="s">
        <v>26</v>
      </c>
      <c r="T23" t="s">
        <v>366</v>
      </c>
    </row>
    <row r="24" spans="1:20" x14ac:dyDescent="0.35">
      <c r="A24" t="s">
        <v>95</v>
      </c>
      <c r="B24" s="2" t="s">
        <v>311</v>
      </c>
      <c r="C24" s="2" t="s">
        <v>372</v>
      </c>
      <c r="D24" t="s">
        <v>97</v>
      </c>
      <c r="E24" t="s">
        <v>288</v>
      </c>
      <c r="F24" t="s">
        <v>42</v>
      </c>
      <c r="G24" t="s">
        <v>266</v>
      </c>
      <c r="H24" t="s">
        <v>272</v>
      </c>
      <c r="I24" t="s">
        <v>93</v>
      </c>
      <c r="J24" t="str">
        <f>VLOOKUP(I24,Product_Catalog!$A$1:$E$11,2,FALSE)</f>
        <v>Laundry Detergent 1kg</v>
      </c>
      <c r="K24" t="s">
        <v>252</v>
      </c>
      <c r="L24">
        <v>20</v>
      </c>
      <c r="M24" s="3">
        <v>850</v>
      </c>
      <c r="N24" s="3">
        <v>1200</v>
      </c>
      <c r="O24" s="3">
        <v>24000</v>
      </c>
      <c r="P24" s="3">
        <v>17000</v>
      </c>
      <c r="Q24" s="3">
        <v>7000</v>
      </c>
      <c r="R24" s="4">
        <v>0.29166666666666669</v>
      </c>
      <c r="S24" t="s">
        <v>31</v>
      </c>
      <c r="T24" t="s">
        <v>367</v>
      </c>
    </row>
    <row r="25" spans="1:20" x14ac:dyDescent="0.35">
      <c r="A25" t="s">
        <v>99</v>
      </c>
      <c r="B25" s="2" t="s">
        <v>297</v>
      </c>
      <c r="C25" s="2" t="s">
        <v>376</v>
      </c>
      <c r="D25" t="s">
        <v>53</v>
      </c>
      <c r="E25" t="s">
        <v>279</v>
      </c>
      <c r="F25" t="s">
        <v>24</v>
      </c>
      <c r="G25" t="s">
        <v>266</v>
      </c>
      <c r="H25" t="s">
        <v>272</v>
      </c>
      <c r="I25" t="s">
        <v>25</v>
      </c>
      <c r="J25" t="str">
        <f>VLOOKUP(I25,Product_Catalog!$A$1:$E$11,2,FALSE)</f>
        <v>Vegetable Oil 1L</v>
      </c>
      <c r="K25" t="s">
        <v>254</v>
      </c>
      <c r="L25">
        <v>1</v>
      </c>
      <c r="M25" s="3">
        <v>2200</v>
      </c>
      <c r="N25" s="3">
        <v>2900</v>
      </c>
      <c r="O25" s="3">
        <v>2900</v>
      </c>
      <c r="P25" s="3">
        <v>2200</v>
      </c>
      <c r="Q25" s="3">
        <v>700</v>
      </c>
      <c r="R25" s="4">
        <v>0.2413793103448276</v>
      </c>
      <c r="S25" t="s">
        <v>37</v>
      </c>
      <c r="T25" t="s">
        <v>38</v>
      </c>
    </row>
    <row r="26" spans="1:20" x14ac:dyDescent="0.35">
      <c r="A26" t="s">
        <v>100</v>
      </c>
      <c r="B26" s="2" t="s">
        <v>312</v>
      </c>
      <c r="C26" s="2" t="s">
        <v>375</v>
      </c>
      <c r="D26" t="s">
        <v>92</v>
      </c>
      <c r="E26" t="s">
        <v>287</v>
      </c>
      <c r="F26" t="s">
        <v>42</v>
      </c>
      <c r="G26" t="s">
        <v>274</v>
      </c>
      <c r="H26" t="s">
        <v>267</v>
      </c>
      <c r="I26" t="s">
        <v>30</v>
      </c>
      <c r="J26" t="str">
        <f>VLOOKUP(I26,Product_Catalog!$A$1:$E$11,2,FALSE)</f>
        <v>Basmati Rice 5kg</v>
      </c>
      <c r="K26" t="s">
        <v>258</v>
      </c>
      <c r="L26">
        <v>18</v>
      </c>
      <c r="M26" s="3">
        <v>6500</v>
      </c>
      <c r="N26" s="3">
        <v>8500</v>
      </c>
      <c r="O26" s="3">
        <v>153000</v>
      </c>
      <c r="P26" s="3">
        <v>117000</v>
      </c>
      <c r="Q26" s="3">
        <v>36000</v>
      </c>
      <c r="R26" s="4">
        <v>0.23529411764705882</v>
      </c>
      <c r="S26" t="s">
        <v>43</v>
      </c>
      <c r="T26" t="s">
        <v>44</v>
      </c>
    </row>
    <row r="27" spans="1:20" x14ac:dyDescent="0.35">
      <c r="A27" t="s">
        <v>102</v>
      </c>
      <c r="B27" s="2" t="s">
        <v>313</v>
      </c>
      <c r="C27" s="2" t="s">
        <v>378</v>
      </c>
      <c r="D27" t="s">
        <v>92</v>
      </c>
      <c r="E27" t="s">
        <v>287</v>
      </c>
      <c r="F27" t="s">
        <v>42</v>
      </c>
      <c r="G27" t="s">
        <v>274</v>
      </c>
      <c r="H27" t="s">
        <v>267</v>
      </c>
      <c r="I27" t="s">
        <v>93</v>
      </c>
      <c r="J27" t="str">
        <f>VLOOKUP(I27,Product_Catalog!$A$1:$E$11,2,FALSE)</f>
        <v>Laundry Detergent 1kg</v>
      </c>
      <c r="K27" t="s">
        <v>252</v>
      </c>
      <c r="L27">
        <v>7</v>
      </c>
      <c r="M27" s="3">
        <v>850</v>
      </c>
      <c r="N27" s="3">
        <v>1200</v>
      </c>
      <c r="O27" s="3">
        <v>8400</v>
      </c>
      <c r="P27" s="3">
        <v>5950</v>
      </c>
      <c r="Q27" s="3">
        <v>2450</v>
      </c>
      <c r="R27" s="4">
        <v>0.29166666666666669</v>
      </c>
      <c r="S27" t="s">
        <v>48</v>
      </c>
      <c r="T27" t="s">
        <v>366</v>
      </c>
    </row>
    <row r="28" spans="1:20" x14ac:dyDescent="0.35">
      <c r="A28" t="s">
        <v>104</v>
      </c>
      <c r="B28" s="2" t="s">
        <v>314</v>
      </c>
      <c r="C28" s="2" t="s">
        <v>376</v>
      </c>
      <c r="D28" t="s">
        <v>79</v>
      </c>
      <c r="E28" t="s">
        <v>284</v>
      </c>
      <c r="F28" t="s">
        <v>42</v>
      </c>
      <c r="G28" t="s">
        <v>269</v>
      </c>
      <c r="H28" t="s">
        <v>285</v>
      </c>
      <c r="I28" t="s">
        <v>30</v>
      </c>
      <c r="J28" t="str">
        <f>VLOOKUP(I28,Product_Catalog!$A$1:$E$11,2,FALSE)</f>
        <v>Basmati Rice 5kg</v>
      </c>
      <c r="K28" t="s">
        <v>258</v>
      </c>
      <c r="L28">
        <v>23</v>
      </c>
      <c r="M28" s="3">
        <v>6500</v>
      </c>
      <c r="N28" s="3">
        <v>8500</v>
      </c>
      <c r="O28" s="3">
        <v>195500</v>
      </c>
      <c r="P28" s="3">
        <v>149500</v>
      </c>
      <c r="Q28" s="3">
        <v>46000</v>
      </c>
      <c r="R28" s="4">
        <v>0.23529411764705882</v>
      </c>
      <c r="S28" t="s">
        <v>26</v>
      </c>
      <c r="T28" t="s">
        <v>367</v>
      </c>
    </row>
    <row r="29" spans="1:20" x14ac:dyDescent="0.35">
      <c r="A29" t="s">
        <v>107</v>
      </c>
      <c r="B29" s="2" t="s">
        <v>315</v>
      </c>
      <c r="C29" s="2" t="s">
        <v>377</v>
      </c>
      <c r="D29" t="s">
        <v>63</v>
      </c>
      <c r="E29" t="s">
        <v>277</v>
      </c>
      <c r="F29" t="s">
        <v>42</v>
      </c>
      <c r="G29" t="s">
        <v>269</v>
      </c>
      <c r="H29" t="s">
        <v>278</v>
      </c>
      <c r="I29" t="s">
        <v>18</v>
      </c>
      <c r="J29" t="str">
        <f>VLOOKUP(I29,Product_Catalog!$A$1:$E$11,2,FALSE)</f>
        <v>Whole Milk Powder 400g</v>
      </c>
      <c r="K29" t="s">
        <v>250</v>
      </c>
      <c r="L29">
        <v>21</v>
      </c>
      <c r="M29" s="3">
        <v>1800</v>
      </c>
      <c r="N29" s="3">
        <v>2400</v>
      </c>
      <c r="O29" s="3">
        <v>50400</v>
      </c>
      <c r="P29" s="3">
        <v>37800</v>
      </c>
      <c r="Q29" s="3">
        <v>12600</v>
      </c>
      <c r="R29" s="4">
        <v>0.25</v>
      </c>
      <c r="S29" t="s">
        <v>31</v>
      </c>
      <c r="T29" t="s">
        <v>38</v>
      </c>
    </row>
    <row r="30" spans="1:20" x14ac:dyDescent="0.35">
      <c r="A30" t="s">
        <v>110</v>
      </c>
      <c r="B30" s="2" t="s">
        <v>316</v>
      </c>
      <c r="C30" s="2" t="s">
        <v>378</v>
      </c>
      <c r="D30" t="s">
        <v>23</v>
      </c>
      <c r="E30" t="s">
        <v>283</v>
      </c>
      <c r="F30" t="s">
        <v>24</v>
      </c>
      <c r="G30" t="s">
        <v>266</v>
      </c>
      <c r="H30" t="s">
        <v>270</v>
      </c>
      <c r="I30" t="s">
        <v>51</v>
      </c>
      <c r="J30" t="str">
        <f>VLOOKUP(I30,Product_Catalog!$A$1:$E$11,2,FALSE)</f>
        <v>Instant Noodles 70g</v>
      </c>
      <c r="K30" t="s">
        <v>248</v>
      </c>
      <c r="L30">
        <v>23</v>
      </c>
      <c r="M30" s="3">
        <v>120</v>
      </c>
      <c r="N30" s="3">
        <v>180</v>
      </c>
      <c r="O30" s="3">
        <v>4140</v>
      </c>
      <c r="P30" s="3">
        <v>2760</v>
      </c>
      <c r="Q30" s="3">
        <v>1380</v>
      </c>
      <c r="R30" s="4">
        <v>0.33333333333333331</v>
      </c>
      <c r="S30" t="s">
        <v>37</v>
      </c>
      <c r="T30" t="s">
        <v>44</v>
      </c>
    </row>
    <row r="31" spans="1:20" x14ac:dyDescent="0.35">
      <c r="A31" t="s">
        <v>113</v>
      </c>
      <c r="B31" s="2" t="s">
        <v>317</v>
      </c>
      <c r="C31" s="2" t="s">
        <v>378</v>
      </c>
      <c r="D31" t="s">
        <v>57</v>
      </c>
      <c r="E31" t="s">
        <v>276</v>
      </c>
      <c r="F31" t="s">
        <v>24</v>
      </c>
      <c r="G31" t="s">
        <v>266</v>
      </c>
      <c r="H31" t="s">
        <v>267</v>
      </c>
      <c r="I31" t="s">
        <v>36</v>
      </c>
      <c r="J31" t="str">
        <f>VLOOKUP(I31,Product_Catalog!$A$1:$E$11,2,FALSE)</f>
        <v>Fruit Juice 1L</v>
      </c>
      <c r="K31" t="s">
        <v>246</v>
      </c>
      <c r="L31">
        <v>18</v>
      </c>
      <c r="M31" s="3">
        <v>750</v>
      </c>
      <c r="N31" s="3">
        <v>1100</v>
      </c>
      <c r="O31" s="3">
        <v>19800</v>
      </c>
      <c r="P31" s="3">
        <v>13500</v>
      </c>
      <c r="Q31" s="3">
        <v>6300</v>
      </c>
      <c r="R31" s="4">
        <v>0.31818181818181818</v>
      </c>
      <c r="S31" t="s">
        <v>43</v>
      </c>
      <c r="T31" t="s">
        <v>366</v>
      </c>
    </row>
    <row r="32" spans="1:20" x14ac:dyDescent="0.35">
      <c r="A32" t="s">
        <v>115</v>
      </c>
      <c r="B32" s="2" t="s">
        <v>318</v>
      </c>
      <c r="C32" s="2" t="s">
        <v>375</v>
      </c>
      <c r="D32" t="s">
        <v>35</v>
      </c>
      <c r="E32" t="s">
        <v>286</v>
      </c>
      <c r="F32" t="s">
        <v>24</v>
      </c>
      <c r="G32" t="s">
        <v>266</v>
      </c>
      <c r="H32" t="s">
        <v>275</v>
      </c>
      <c r="I32" t="s">
        <v>117</v>
      </c>
      <c r="J32" t="str">
        <f>VLOOKUP(I32,Product_Catalog!$A$1:$E$11,2,FALSE)</f>
        <v>Toilet Soap 120g</v>
      </c>
      <c r="K32" t="s">
        <v>256</v>
      </c>
      <c r="L32">
        <v>14</v>
      </c>
      <c r="M32" s="3">
        <v>300</v>
      </c>
      <c r="N32" s="3">
        <v>450</v>
      </c>
      <c r="O32" s="3">
        <v>6300</v>
      </c>
      <c r="P32" s="3">
        <v>4200</v>
      </c>
      <c r="Q32" s="3">
        <v>2100</v>
      </c>
      <c r="R32" s="4">
        <v>0.33333333333333331</v>
      </c>
      <c r="S32" t="s">
        <v>48</v>
      </c>
      <c r="T32" t="s">
        <v>367</v>
      </c>
    </row>
    <row r="33" spans="1:20" x14ac:dyDescent="0.35">
      <c r="A33" t="s">
        <v>118</v>
      </c>
      <c r="B33" s="2" t="s">
        <v>294</v>
      </c>
      <c r="C33" s="2" t="s">
        <v>376</v>
      </c>
      <c r="D33" t="s">
        <v>97</v>
      </c>
      <c r="E33" t="s">
        <v>288</v>
      </c>
      <c r="F33" t="s">
        <v>42</v>
      </c>
      <c r="G33" t="s">
        <v>266</v>
      </c>
      <c r="H33" t="s">
        <v>272</v>
      </c>
      <c r="I33" t="s">
        <v>93</v>
      </c>
      <c r="J33" t="str">
        <f>VLOOKUP(I33,Product_Catalog!$A$1:$E$11,2,FALSE)</f>
        <v>Laundry Detergent 1kg</v>
      </c>
      <c r="K33" t="s">
        <v>252</v>
      </c>
      <c r="L33">
        <v>8</v>
      </c>
      <c r="M33" s="3">
        <v>850</v>
      </c>
      <c r="N33" s="3">
        <v>1200</v>
      </c>
      <c r="O33" s="3">
        <v>9600</v>
      </c>
      <c r="P33" s="3">
        <v>6800</v>
      </c>
      <c r="Q33" s="3">
        <v>2800</v>
      </c>
      <c r="R33" s="4">
        <v>0.29166666666666669</v>
      </c>
      <c r="S33" t="s">
        <v>26</v>
      </c>
      <c r="T33" t="s">
        <v>38</v>
      </c>
    </row>
    <row r="34" spans="1:20" x14ac:dyDescent="0.35">
      <c r="A34" t="s">
        <v>119</v>
      </c>
      <c r="B34" s="2" t="s">
        <v>319</v>
      </c>
      <c r="C34" s="2" t="s">
        <v>375</v>
      </c>
      <c r="D34" t="s">
        <v>53</v>
      </c>
      <c r="E34" t="s">
        <v>279</v>
      </c>
      <c r="F34" t="s">
        <v>24</v>
      </c>
      <c r="G34" t="s">
        <v>266</v>
      </c>
      <c r="H34" t="s">
        <v>272</v>
      </c>
      <c r="I34" t="s">
        <v>85</v>
      </c>
      <c r="J34" t="str">
        <f>VLOOKUP(I34,Product_Catalog!$A$1:$E$11,2,FALSE)</f>
        <v>Toothpaste 140g</v>
      </c>
      <c r="K34" t="s">
        <v>256</v>
      </c>
      <c r="L34">
        <v>15</v>
      </c>
      <c r="M34" s="3">
        <v>450</v>
      </c>
      <c r="N34" s="3">
        <v>650</v>
      </c>
      <c r="O34" s="3">
        <v>9750</v>
      </c>
      <c r="P34" s="3">
        <v>6750</v>
      </c>
      <c r="Q34" s="3">
        <v>3000</v>
      </c>
      <c r="R34" s="4">
        <v>0.30769230769230771</v>
      </c>
      <c r="S34" t="s">
        <v>31</v>
      </c>
      <c r="T34" t="s">
        <v>44</v>
      </c>
    </row>
    <row r="35" spans="1:20" x14ac:dyDescent="0.35">
      <c r="A35" t="s">
        <v>121</v>
      </c>
      <c r="B35" s="2" t="s">
        <v>320</v>
      </c>
      <c r="C35" s="2" t="s">
        <v>378</v>
      </c>
      <c r="D35" t="s">
        <v>53</v>
      </c>
      <c r="E35" t="s">
        <v>279</v>
      </c>
      <c r="F35" t="s">
        <v>24</v>
      </c>
      <c r="G35" t="s">
        <v>266</v>
      </c>
      <c r="H35" t="s">
        <v>272</v>
      </c>
      <c r="I35" t="s">
        <v>36</v>
      </c>
      <c r="J35" t="str">
        <f>VLOOKUP(I35,Product_Catalog!$A$1:$E$11,2,FALSE)</f>
        <v>Fruit Juice 1L</v>
      </c>
      <c r="K35" t="s">
        <v>246</v>
      </c>
      <c r="L35">
        <v>19</v>
      </c>
      <c r="M35" s="3">
        <v>750</v>
      </c>
      <c r="N35" s="3">
        <v>1100</v>
      </c>
      <c r="O35" s="3">
        <v>20900</v>
      </c>
      <c r="P35" s="3">
        <v>14250</v>
      </c>
      <c r="Q35" s="3">
        <v>6650</v>
      </c>
      <c r="R35" s="4">
        <v>0.31818181818181818</v>
      </c>
      <c r="S35" t="s">
        <v>37</v>
      </c>
      <c r="T35" t="s">
        <v>366</v>
      </c>
    </row>
    <row r="36" spans="1:20" x14ac:dyDescent="0.35">
      <c r="A36" t="s">
        <v>124</v>
      </c>
      <c r="B36" s="2" t="s">
        <v>321</v>
      </c>
      <c r="C36" s="2" t="s">
        <v>374</v>
      </c>
      <c r="D36" t="s">
        <v>16</v>
      </c>
      <c r="E36" t="s">
        <v>265</v>
      </c>
      <c r="F36" t="s">
        <v>24</v>
      </c>
      <c r="G36" t="s">
        <v>266</v>
      </c>
      <c r="H36" t="s">
        <v>267</v>
      </c>
      <c r="I36" t="s">
        <v>126</v>
      </c>
      <c r="J36" t="str">
        <f>VLOOKUP(I36,Product_Catalog!$A$1:$E$11,2,FALSE)</f>
        <v>Malt Beverage 33cl</v>
      </c>
      <c r="K36" t="s">
        <v>246</v>
      </c>
      <c r="L36">
        <v>9</v>
      </c>
      <c r="M36" s="3">
        <v>250</v>
      </c>
      <c r="N36" s="3">
        <v>350</v>
      </c>
      <c r="O36" s="3">
        <v>3150</v>
      </c>
      <c r="P36" s="3">
        <v>2250</v>
      </c>
      <c r="Q36" s="3">
        <v>900</v>
      </c>
      <c r="R36" s="4">
        <v>0.2857142857142857</v>
      </c>
      <c r="S36" t="s">
        <v>43</v>
      </c>
      <c r="T36" t="s">
        <v>367</v>
      </c>
    </row>
    <row r="37" spans="1:20" x14ac:dyDescent="0.35">
      <c r="A37" t="s">
        <v>127</v>
      </c>
      <c r="B37" s="2" t="s">
        <v>322</v>
      </c>
      <c r="C37" s="2" t="s">
        <v>378</v>
      </c>
      <c r="D37" t="s">
        <v>79</v>
      </c>
      <c r="E37" t="s">
        <v>284</v>
      </c>
      <c r="F37" t="s">
        <v>42</v>
      </c>
      <c r="G37" t="s">
        <v>269</v>
      </c>
      <c r="H37" t="s">
        <v>285</v>
      </c>
      <c r="I37" t="s">
        <v>36</v>
      </c>
      <c r="J37" t="str">
        <f>VLOOKUP(I37,Product_Catalog!$A$1:$E$11,2,FALSE)</f>
        <v>Fruit Juice 1L</v>
      </c>
      <c r="K37" t="s">
        <v>246</v>
      </c>
      <c r="L37">
        <v>1</v>
      </c>
      <c r="M37" s="3">
        <v>750</v>
      </c>
      <c r="N37" s="3">
        <v>1100</v>
      </c>
      <c r="O37" s="3">
        <v>1100</v>
      </c>
      <c r="P37" s="3">
        <v>750</v>
      </c>
      <c r="Q37" s="3">
        <v>350</v>
      </c>
      <c r="R37" s="4">
        <v>0.31818181818181818</v>
      </c>
      <c r="S37" t="s">
        <v>48</v>
      </c>
      <c r="T37" t="s">
        <v>38</v>
      </c>
    </row>
    <row r="38" spans="1:20" x14ac:dyDescent="0.35">
      <c r="A38" t="s">
        <v>129</v>
      </c>
      <c r="B38" s="2" t="s">
        <v>323</v>
      </c>
      <c r="C38" s="2" t="s">
        <v>377</v>
      </c>
      <c r="D38" t="s">
        <v>131</v>
      </c>
      <c r="E38" t="s">
        <v>273</v>
      </c>
      <c r="F38" t="s">
        <v>42</v>
      </c>
      <c r="G38" t="s">
        <v>274</v>
      </c>
      <c r="H38" t="s">
        <v>275</v>
      </c>
      <c r="I38" t="s">
        <v>36</v>
      </c>
      <c r="J38" t="str">
        <f>VLOOKUP(I38,Product_Catalog!$A$1:$E$11,2,FALSE)</f>
        <v>Fruit Juice 1L</v>
      </c>
      <c r="K38" t="s">
        <v>246</v>
      </c>
      <c r="L38">
        <v>25</v>
      </c>
      <c r="M38" s="3">
        <v>750</v>
      </c>
      <c r="N38" s="3">
        <v>1100</v>
      </c>
      <c r="O38" s="3">
        <v>27500</v>
      </c>
      <c r="P38" s="3">
        <v>18750</v>
      </c>
      <c r="Q38" s="3">
        <v>8750</v>
      </c>
      <c r="R38" s="4">
        <v>0.31818181818181818</v>
      </c>
      <c r="S38" t="s">
        <v>26</v>
      </c>
      <c r="T38" t="s">
        <v>44</v>
      </c>
    </row>
    <row r="39" spans="1:20" x14ac:dyDescent="0.35">
      <c r="A39" t="s">
        <v>132</v>
      </c>
      <c r="B39" s="2" t="s">
        <v>305</v>
      </c>
      <c r="C39" s="2" t="s">
        <v>372</v>
      </c>
      <c r="D39" t="s">
        <v>133</v>
      </c>
      <c r="E39" t="s">
        <v>271</v>
      </c>
      <c r="F39" t="s">
        <v>24</v>
      </c>
      <c r="G39" t="s">
        <v>266</v>
      </c>
      <c r="H39" t="s">
        <v>272</v>
      </c>
      <c r="I39" t="s">
        <v>36</v>
      </c>
      <c r="J39" t="str">
        <f>VLOOKUP(I39,Product_Catalog!$A$1:$E$11,2,FALSE)</f>
        <v>Fruit Juice 1L</v>
      </c>
      <c r="K39" t="s">
        <v>246</v>
      </c>
      <c r="L39">
        <v>6</v>
      </c>
      <c r="M39" s="3">
        <v>750</v>
      </c>
      <c r="N39" s="3">
        <v>1100</v>
      </c>
      <c r="O39" s="3">
        <v>6600</v>
      </c>
      <c r="P39" s="3">
        <v>4500</v>
      </c>
      <c r="Q39" s="3">
        <v>2100</v>
      </c>
      <c r="R39" s="4">
        <v>0.31818181818181818</v>
      </c>
      <c r="S39" t="s">
        <v>31</v>
      </c>
      <c r="T39" t="s">
        <v>366</v>
      </c>
    </row>
    <row r="40" spans="1:20" x14ac:dyDescent="0.35">
      <c r="A40" t="s">
        <v>134</v>
      </c>
      <c r="B40" s="2" t="s">
        <v>320</v>
      </c>
      <c r="C40" s="2" t="s">
        <v>378</v>
      </c>
      <c r="D40" t="s">
        <v>63</v>
      </c>
      <c r="E40" t="s">
        <v>277</v>
      </c>
      <c r="F40" t="s">
        <v>42</v>
      </c>
      <c r="G40" t="s">
        <v>269</v>
      </c>
      <c r="H40" t="s">
        <v>278</v>
      </c>
      <c r="I40" t="s">
        <v>30</v>
      </c>
      <c r="J40" t="str">
        <f>VLOOKUP(I40,Product_Catalog!$A$1:$E$11,2,FALSE)</f>
        <v>Basmati Rice 5kg</v>
      </c>
      <c r="K40" t="s">
        <v>258</v>
      </c>
      <c r="L40">
        <v>23</v>
      </c>
      <c r="M40" s="3">
        <v>6500</v>
      </c>
      <c r="N40" s="3">
        <v>8500</v>
      </c>
      <c r="O40" s="3">
        <v>195500</v>
      </c>
      <c r="P40" s="3">
        <v>149500</v>
      </c>
      <c r="Q40" s="3">
        <v>46000</v>
      </c>
      <c r="R40" s="4">
        <v>0.23529411764705882</v>
      </c>
      <c r="S40" t="s">
        <v>37</v>
      </c>
      <c r="T40" t="s">
        <v>367</v>
      </c>
    </row>
    <row r="41" spans="1:20" x14ac:dyDescent="0.35">
      <c r="A41" t="s">
        <v>135</v>
      </c>
      <c r="B41" s="2" t="s">
        <v>324</v>
      </c>
      <c r="C41" s="2" t="s">
        <v>372</v>
      </c>
      <c r="D41" t="s">
        <v>79</v>
      </c>
      <c r="E41" t="s">
        <v>284</v>
      </c>
      <c r="F41" t="s">
        <v>42</v>
      </c>
      <c r="G41" t="s">
        <v>269</v>
      </c>
      <c r="H41" t="s">
        <v>285</v>
      </c>
      <c r="I41" t="s">
        <v>47</v>
      </c>
      <c r="J41" t="str">
        <f>VLOOKUP(I41,Product_Catalog!$A$1:$E$11,2,FALSE)</f>
        <v>Tomato Paste 400g</v>
      </c>
      <c r="K41" t="s">
        <v>254</v>
      </c>
      <c r="L41">
        <v>14</v>
      </c>
      <c r="M41" s="3">
        <v>600</v>
      </c>
      <c r="N41" s="3">
        <v>850</v>
      </c>
      <c r="O41" s="3">
        <v>11900</v>
      </c>
      <c r="P41" s="3">
        <v>8400</v>
      </c>
      <c r="Q41" s="3">
        <v>3500</v>
      </c>
      <c r="R41" s="4">
        <v>0.29411764705882354</v>
      </c>
      <c r="S41" t="s">
        <v>43</v>
      </c>
      <c r="T41" t="s">
        <v>38</v>
      </c>
    </row>
    <row r="42" spans="1:20" x14ac:dyDescent="0.35">
      <c r="A42" t="s">
        <v>137</v>
      </c>
      <c r="B42" s="2" t="s">
        <v>297</v>
      </c>
      <c r="C42" s="2" t="s">
        <v>376</v>
      </c>
      <c r="D42" t="s">
        <v>97</v>
      </c>
      <c r="E42" t="s">
        <v>288</v>
      </c>
      <c r="F42" t="s">
        <v>42</v>
      </c>
      <c r="G42" t="s">
        <v>266</v>
      </c>
      <c r="H42" t="s">
        <v>272</v>
      </c>
      <c r="I42" t="s">
        <v>36</v>
      </c>
      <c r="J42" t="str">
        <f>VLOOKUP(I42,Product_Catalog!$A$1:$E$11,2,FALSE)</f>
        <v>Fruit Juice 1L</v>
      </c>
      <c r="K42" t="s">
        <v>246</v>
      </c>
      <c r="L42">
        <v>11</v>
      </c>
      <c r="M42" s="3">
        <v>750</v>
      </c>
      <c r="N42" s="3">
        <v>1100</v>
      </c>
      <c r="O42" s="3">
        <v>12100</v>
      </c>
      <c r="P42" s="3">
        <v>8250</v>
      </c>
      <c r="Q42" s="3">
        <v>3850</v>
      </c>
      <c r="R42" s="4">
        <v>0.31818181818181818</v>
      </c>
      <c r="S42" t="s">
        <v>48</v>
      </c>
      <c r="T42" t="s">
        <v>44</v>
      </c>
    </row>
    <row r="43" spans="1:20" x14ac:dyDescent="0.35">
      <c r="A43" t="s">
        <v>138</v>
      </c>
      <c r="B43" s="2" t="s">
        <v>325</v>
      </c>
      <c r="C43" s="2" t="s">
        <v>377</v>
      </c>
      <c r="D43" t="s">
        <v>16</v>
      </c>
      <c r="E43" t="s">
        <v>265</v>
      </c>
      <c r="F43" t="s">
        <v>24</v>
      </c>
      <c r="G43" t="s">
        <v>266</v>
      </c>
      <c r="H43" t="s">
        <v>267</v>
      </c>
      <c r="I43" t="s">
        <v>25</v>
      </c>
      <c r="J43" t="str">
        <f>VLOOKUP(I43,Product_Catalog!$A$1:$E$11,2,FALSE)</f>
        <v>Vegetable Oil 1L</v>
      </c>
      <c r="K43" t="s">
        <v>254</v>
      </c>
      <c r="L43">
        <v>9</v>
      </c>
      <c r="M43" s="3">
        <v>2200</v>
      </c>
      <c r="N43" s="3">
        <v>2900</v>
      </c>
      <c r="O43" s="3">
        <v>26100</v>
      </c>
      <c r="P43" s="3">
        <v>19800</v>
      </c>
      <c r="Q43" s="3">
        <v>6300</v>
      </c>
      <c r="R43" s="4">
        <v>0.2413793103448276</v>
      </c>
      <c r="S43" t="s">
        <v>26</v>
      </c>
      <c r="T43" t="s">
        <v>366</v>
      </c>
    </row>
    <row r="44" spans="1:20" x14ac:dyDescent="0.35">
      <c r="A44" t="s">
        <v>140</v>
      </c>
      <c r="B44" s="2" t="s">
        <v>326</v>
      </c>
      <c r="C44" s="2" t="s">
        <v>375</v>
      </c>
      <c r="D44" t="s">
        <v>23</v>
      </c>
      <c r="E44" t="s">
        <v>283</v>
      </c>
      <c r="F44" t="s">
        <v>24</v>
      </c>
      <c r="G44" t="s">
        <v>266</v>
      </c>
      <c r="H44" t="s">
        <v>270</v>
      </c>
      <c r="I44" t="s">
        <v>18</v>
      </c>
      <c r="J44" t="str">
        <f>VLOOKUP(I44,Product_Catalog!$A$1:$E$11,2,FALSE)</f>
        <v>Whole Milk Powder 400g</v>
      </c>
      <c r="K44" t="s">
        <v>250</v>
      </c>
      <c r="L44">
        <v>5</v>
      </c>
      <c r="M44" s="3">
        <v>1800</v>
      </c>
      <c r="N44" s="3">
        <v>2400</v>
      </c>
      <c r="O44" s="3">
        <v>12000</v>
      </c>
      <c r="P44" s="3">
        <v>9000</v>
      </c>
      <c r="Q44" s="3">
        <v>3000</v>
      </c>
      <c r="R44" s="4">
        <v>0.25</v>
      </c>
      <c r="S44" t="s">
        <v>31</v>
      </c>
      <c r="T44" t="s">
        <v>367</v>
      </c>
    </row>
    <row r="45" spans="1:20" x14ac:dyDescent="0.35">
      <c r="A45" t="s">
        <v>142</v>
      </c>
      <c r="B45" s="2" t="s">
        <v>327</v>
      </c>
      <c r="C45" s="2" t="s">
        <v>376</v>
      </c>
      <c r="D45" t="s">
        <v>76</v>
      </c>
      <c r="E45" t="s">
        <v>289</v>
      </c>
      <c r="F45" t="s">
        <v>24</v>
      </c>
      <c r="G45" t="s">
        <v>269</v>
      </c>
      <c r="H45" t="s">
        <v>281</v>
      </c>
      <c r="I45" t="s">
        <v>47</v>
      </c>
      <c r="J45" t="str">
        <f>VLOOKUP(I45,Product_Catalog!$A$1:$E$11,2,FALSE)</f>
        <v>Tomato Paste 400g</v>
      </c>
      <c r="K45" t="s">
        <v>254</v>
      </c>
      <c r="L45">
        <v>7</v>
      </c>
      <c r="M45" s="3">
        <v>600</v>
      </c>
      <c r="N45" s="3">
        <v>850</v>
      </c>
      <c r="O45" s="3">
        <v>5950</v>
      </c>
      <c r="P45" s="3">
        <v>4200</v>
      </c>
      <c r="Q45" s="3">
        <v>1750</v>
      </c>
      <c r="R45" s="4">
        <v>0.29411764705882354</v>
      </c>
      <c r="S45" t="s">
        <v>37</v>
      </c>
      <c r="T45" t="s">
        <v>38</v>
      </c>
    </row>
    <row r="46" spans="1:20" x14ac:dyDescent="0.35">
      <c r="A46" t="s">
        <v>144</v>
      </c>
      <c r="B46" s="2" t="s">
        <v>328</v>
      </c>
      <c r="C46" s="2" t="s">
        <v>372</v>
      </c>
      <c r="D46" t="s">
        <v>146</v>
      </c>
      <c r="E46" t="s">
        <v>280</v>
      </c>
      <c r="F46" t="s">
        <v>42</v>
      </c>
      <c r="G46" t="s">
        <v>266</v>
      </c>
      <c r="H46" t="s">
        <v>281</v>
      </c>
      <c r="I46" t="s">
        <v>117</v>
      </c>
      <c r="J46" t="str">
        <f>VLOOKUP(I46,Product_Catalog!$A$1:$E$11,2,FALSE)</f>
        <v>Toilet Soap 120g</v>
      </c>
      <c r="K46" t="s">
        <v>256</v>
      </c>
      <c r="L46">
        <v>25</v>
      </c>
      <c r="M46" s="3">
        <v>300</v>
      </c>
      <c r="N46" s="3">
        <v>450</v>
      </c>
      <c r="O46" s="3">
        <v>11250</v>
      </c>
      <c r="P46" s="3">
        <v>7500</v>
      </c>
      <c r="Q46" s="3">
        <v>3750</v>
      </c>
      <c r="R46" s="4">
        <v>0.33333333333333331</v>
      </c>
      <c r="S46" t="s">
        <v>43</v>
      </c>
      <c r="T46" t="s">
        <v>44</v>
      </c>
    </row>
    <row r="47" spans="1:20" x14ac:dyDescent="0.35">
      <c r="A47" t="s">
        <v>148</v>
      </c>
      <c r="B47" s="2" t="s">
        <v>315</v>
      </c>
      <c r="C47" s="2" t="s">
        <v>377</v>
      </c>
      <c r="D47" t="s">
        <v>131</v>
      </c>
      <c r="E47" t="s">
        <v>273</v>
      </c>
      <c r="F47" t="s">
        <v>42</v>
      </c>
      <c r="G47" t="s">
        <v>274</v>
      </c>
      <c r="H47" t="s">
        <v>275</v>
      </c>
      <c r="I47" t="s">
        <v>36</v>
      </c>
      <c r="J47" t="str">
        <f>VLOOKUP(I47,Product_Catalog!$A$1:$E$11,2,FALSE)</f>
        <v>Fruit Juice 1L</v>
      </c>
      <c r="K47" t="s">
        <v>246</v>
      </c>
      <c r="L47">
        <v>11</v>
      </c>
      <c r="M47" s="3">
        <v>750</v>
      </c>
      <c r="N47" s="3">
        <v>1100</v>
      </c>
      <c r="O47" s="3">
        <v>12100</v>
      </c>
      <c r="P47" s="3">
        <v>8250</v>
      </c>
      <c r="Q47" s="3">
        <v>3850</v>
      </c>
      <c r="R47" s="4">
        <v>0.31818181818181818</v>
      </c>
      <c r="S47" t="s">
        <v>48</v>
      </c>
      <c r="T47" t="s">
        <v>366</v>
      </c>
    </row>
    <row r="48" spans="1:20" x14ac:dyDescent="0.35">
      <c r="A48" t="s">
        <v>149</v>
      </c>
      <c r="B48" s="2" t="s">
        <v>329</v>
      </c>
      <c r="C48" s="2" t="s">
        <v>377</v>
      </c>
      <c r="D48" t="s">
        <v>97</v>
      </c>
      <c r="E48" t="s">
        <v>288</v>
      </c>
      <c r="F48" t="s">
        <v>42</v>
      </c>
      <c r="G48" t="s">
        <v>266</v>
      </c>
      <c r="H48" t="s">
        <v>272</v>
      </c>
      <c r="I48" t="s">
        <v>126</v>
      </c>
      <c r="J48" t="str">
        <f>VLOOKUP(I48,Product_Catalog!$A$1:$E$11,2,FALSE)</f>
        <v>Malt Beverage 33cl</v>
      </c>
      <c r="K48" t="s">
        <v>246</v>
      </c>
      <c r="L48">
        <v>4</v>
      </c>
      <c r="M48" s="3">
        <v>250</v>
      </c>
      <c r="N48" s="3">
        <v>350</v>
      </c>
      <c r="O48" s="3">
        <v>1400</v>
      </c>
      <c r="P48" s="3">
        <v>1000</v>
      </c>
      <c r="Q48" s="3">
        <v>400</v>
      </c>
      <c r="R48" s="4">
        <v>0.2857142857142857</v>
      </c>
      <c r="S48" t="s">
        <v>26</v>
      </c>
      <c r="T48" t="s">
        <v>367</v>
      </c>
    </row>
    <row r="49" spans="1:20" x14ac:dyDescent="0.35">
      <c r="A49" t="s">
        <v>151</v>
      </c>
      <c r="B49" s="2" t="s">
        <v>330</v>
      </c>
      <c r="C49" s="2" t="s">
        <v>376</v>
      </c>
      <c r="D49" t="s">
        <v>23</v>
      </c>
      <c r="E49" t="s">
        <v>283</v>
      </c>
      <c r="F49" t="s">
        <v>24</v>
      </c>
      <c r="G49" t="s">
        <v>266</v>
      </c>
      <c r="H49" t="s">
        <v>270</v>
      </c>
      <c r="I49" t="s">
        <v>126</v>
      </c>
      <c r="J49" t="str">
        <f>VLOOKUP(I49,Product_Catalog!$A$1:$E$11,2,FALSE)</f>
        <v>Malt Beverage 33cl</v>
      </c>
      <c r="K49" t="s">
        <v>246</v>
      </c>
      <c r="L49">
        <v>3</v>
      </c>
      <c r="M49" s="3">
        <v>250</v>
      </c>
      <c r="N49" s="3">
        <v>350</v>
      </c>
      <c r="O49" s="3">
        <v>1050</v>
      </c>
      <c r="P49" s="3">
        <v>750</v>
      </c>
      <c r="Q49" s="3">
        <v>300</v>
      </c>
      <c r="R49" s="4">
        <v>0.2857142857142857</v>
      </c>
      <c r="S49" t="s">
        <v>31</v>
      </c>
      <c r="T49" t="s">
        <v>38</v>
      </c>
    </row>
    <row r="50" spans="1:20" x14ac:dyDescent="0.35">
      <c r="A50" t="s">
        <v>153</v>
      </c>
      <c r="B50" s="2" t="s">
        <v>331</v>
      </c>
      <c r="C50" s="2" t="s">
        <v>376</v>
      </c>
      <c r="D50" t="s">
        <v>35</v>
      </c>
      <c r="E50" t="s">
        <v>286</v>
      </c>
      <c r="F50" t="s">
        <v>24</v>
      </c>
      <c r="G50" t="s">
        <v>266</v>
      </c>
      <c r="H50" t="s">
        <v>275</v>
      </c>
      <c r="I50" t="s">
        <v>93</v>
      </c>
      <c r="J50" t="str">
        <f>VLOOKUP(I50,Product_Catalog!$A$1:$E$11,2,FALSE)</f>
        <v>Laundry Detergent 1kg</v>
      </c>
      <c r="K50" t="s">
        <v>252</v>
      </c>
      <c r="L50">
        <v>13</v>
      </c>
      <c r="M50" s="3">
        <v>850</v>
      </c>
      <c r="N50" s="3">
        <v>1200</v>
      </c>
      <c r="O50" s="3">
        <v>15600</v>
      </c>
      <c r="P50" s="3">
        <v>11050</v>
      </c>
      <c r="Q50" s="3">
        <v>4550</v>
      </c>
      <c r="R50" s="4">
        <v>0.29166666666666669</v>
      </c>
      <c r="S50" t="s">
        <v>37</v>
      </c>
      <c r="T50" t="s">
        <v>44</v>
      </c>
    </row>
    <row r="51" spans="1:20" x14ac:dyDescent="0.35">
      <c r="A51" t="s">
        <v>155</v>
      </c>
      <c r="B51" s="2" t="s">
        <v>332</v>
      </c>
      <c r="C51" s="2" t="s">
        <v>377</v>
      </c>
      <c r="D51" t="s">
        <v>157</v>
      </c>
      <c r="E51" t="s">
        <v>268</v>
      </c>
      <c r="F51" t="s">
        <v>42</v>
      </c>
      <c r="G51" t="s">
        <v>269</v>
      </c>
      <c r="H51" t="s">
        <v>270</v>
      </c>
      <c r="I51" t="s">
        <v>30</v>
      </c>
      <c r="J51" t="str">
        <f>VLOOKUP(I51,Product_Catalog!$A$1:$E$11,2,FALSE)</f>
        <v>Basmati Rice 5kg</v>
      </c>
      <c r="K51" t="s">
        <v>258</v>
      </c>
      <c r="L51">
        <v>4</v>
      </c>
      <c r="M51" s="3">
        <v>6500</v>
      </c>
      <c r="N51" s="3">
        <v>8500</v>
      </c>
      <c r="O51" s="3">
        <v>34000</v>
      </c>
      <c r="P51" s="3">
        <v>26000</v>
      </c>
      <c r="Q51" s="3">
        <v>8000</v>
      </c>
      <c r="R51" s="4">
        <v>0.23529411764705882</v>
      </c>
      <c r="S51" t="s">
        <v>43</v>
      </c>
      <c r="T51" t="s">
        <v>366</v>
      </c>
    </row>
    <row r="52" spans="1:20" x14ac:dyDescent="0.35">
      <c r="A52" t="s">
        <v>158</v>
      </c>
      <c r="B52" s="2" t="s">
        <v>307</v>
      </c>
      <c r="C52" s="2" t="s">
        <v>378</v>
      </c>
      <c r="D52" t="s">
        <v>16</v>
      </c>
      <c r="E52" t="s">
        <v>265</v>
      </c>
      <c r="F52" t="s">
        <v>24</v>
      </c>
      <c r="G52" t="s">
        <v>266</v>
      </c>
      <c r="H52" t="s">
        <v>267</v>
      </c>
      <c r="I52" t="s">
        <v>18</v>
      </c>
      <c r="J52" t="str">
        <f>VLOOKUP(I52,Product_Catalog!$A$1:$E$11,2,FALSE)</f>
        <v>Whole Milk Powder 400g</v>
      </c>
      <c r="K52" t="s">
        <v>250</v>
      </c>
      <c r="L52">
        <v>12</v>
      </c>
      <c r="M52" s="3">
        <v>1800</v>
      </c>
      <c r="N52" s="3">
        <v>2400</v>
      </c>
      <c r="O52" s="3">
        <v>28800</v>
      </c>
      <c r="P52" s="3">
        <v>21600</v>
      </c>
      <c r="Q52" s="3">
        <v>7200</v>
      </c>
      <c r="R52" s="4">
        <v>0.25</v>
      </c>
      <c r="S52" t="s">
        <v>48</v>
      </c>
      <c r="T52" t="s">
        <v>367</v>
      </c>
    </row>
    <row r="53" spans="1:20" x14ac:dyDescent="0.35">
      <c r="A53" t="s">
        <v>159</v>
      </c>
      <c r="B53" s="2" t="s">
        <v>311</v>
      </c>
      <c r="C53" s="2" t="s">
        <v>372</v>
      </c>
      <c r="D53" t="s">
        <v>16</v>
      </c>
      <c r="E53" t="s">
        <v>265</v>
      </c>
      <c r="F53" t="s">
        <v>24</v>
      </c>
      <c r="G53" t="s">
        <v>266</v>
      </c>
      <c r="H53" t="s">
        <v>267</v>
      </c>
      <c r="I53" t="s">
        <v>25</v>
      </c>
      <c r="J53" t="str">
        <f>VLOOKUP(I53,Product_Catalog!$A$1:$E$11,2,FALSE)</f>
        <v>Vegetable Oil 1L</v>
      </c>
      <c r="K53" t="s">
        <v>254</v>
      </c>
      <c r="L53">
        <v>12</v>
      </c>
      <c r="M53" s="3">
        <v>2200</v>
      </c>
      <c r="N53" s="3">
        <v>2900</v>
      </c>
      <c r="O53" s="3">
        <v>34800</v>
      </c>
      <c r="P53" s="3">
        <v>26400</v>
      </c>
      <c r="Q53" s="3">
        <v>8400</v>
      </c>
      <c r="R53" s="4">
        <v>0.2413793103448276</v>
      </c>
      <c r="S53" t="s">
        <v>26</v>
      </c>
      <c r="T53" t="s">
        <v>38</v>
      </c>
    </row>
    <row r="54" spans="1:20" x14ac:dyDescent="0.35">
      <c r="A54" t="s">
        <v>160</v>
      </c>
      <c r="B54" s="2" t="s">
        <v>333</v>
      </c>
      <c r="C54" s="2" t="s">
        <v>377</v>
      </c>
      <c r="D54" t="s">
        <v>16</v>
      </c>
      <c r="E54" t="s">
        <v>265</v>
      </c>
      <c r="F54" t="s">
        <v>24</v>
      </c>
      <c r="G54" t="s">
        <v>266</v>
      </c>
      <c r="H54" t="s">
        <v>267</v>
      </c>
      <c r="I54" t="s">
        <v>47</v>
      </c>
      <c r="J54" t="str">
        <f>VLOOKUP(I54,Product_Catalog!$A$1:$E$11,2,FALSE)</f>
        <v>Tomato Paste 400g</v>
      </c>
      <c r="K54" t="s">
        <v>254</v>
      </c>
      <c r="L54">
        <v>20</v>
      </c>
      <c r="M54" s="3">
        <v>600</v>
      </c>
      <c r="N54" s="3">
        <v>850</v>
      </c>
      <c r="O54" s="3">
        <v>17000</v>
      </c>
      <c r="P54" s="3">
        <v>12000</v>
      </c>
      <c r="Q54" s="3">
        <v>5000</v>
      </c>
      <c r="R54" s="4">
        <v>0.29411764705882354</v>
      </c>
      <c r="S54" t="s">
        <v>31</v>
      </c>
      <c r="T54" t="s">
        <v>44</v>
      </c>
    </row>
    <row r="55" spans="1:20" x14ac:dyDescent="0.35">
      <c r="A55" t="s">
        <v>162</v>
      </c>
      <c r="B55" s="2" t="s">
        <v>334</v>
      </c>
      <c r="C55" s="2" t="s">
        <v>374</v>
      </c>
      <c r="D55" t="s">
        <v>157</v>
      </c>
      <c r="E55" t="s">
        <v>268</v>
      </c>
      <c r="F55" t="s">
        <v>42</v>
      </c>
      <c r="G55" t="s">
        <v>269</v>
      </c>
      <c r="H55" t="s">
        <v>270</v>
      </c>
      <c r="I55" t="s">
        <v>126</v>
      </c>
      <c r="J55" t="str">
        <f>VLOOKUP(I55,Product_Catalog!$A$1:$E$11,2,FALSE)</f>
        <v>Malt Beverage 33cl</v>
      </c>
      <c r="K55" t="s">
        <v>246</v>
      </c>
      <c r="L55">
        <v>9</v>
      </c>
      <c r="M55" s="3">
        <v>250</v>
      </c>
      <c r="N55" s="3">
        <v>350</v>
      </c>
      <c r="O55" s="3">
        <v>3150</v>
      </c>
      <c r="P55" s="3">
        <v>2250</v>
      </c>
      <c r="Q55" s="3">
        <v>900</v>
      </c>
      <c r="R55" s="4">
        <v>0.2857142857142857</v>
      </c>
      <c r="S55" t="s">
        <v>37</v>
      </c>
      <c r="T55" t="s">
        <v>366</v>
      </c>
    </row>
    <row r="56" spans="1:20" x14ac:dyDescent="0.35">
      <c r="A56" t="s">
        <v>164</v>
      </c>
      <c r="B56" s="2" t="s">
        <v>335</v>
      </c>
      <c r="C56" s="2" t="s">
        <v>374</v>
      </c>
      <c r="D56" t="s">
        <v>35</v>
      </c>
      <c r="E56" t="s">
        <v>286</v>
      </c>
      <c r="F56" t="s">
        <v>24</v>
      </c>
      <c r="G56" t="s">
        <v>266</v>
      </c>
      <c r="H56" t="s">
        <v>275</v>
      </c>
      <c r="I56" t="s">
        <v>51</v>
      </c>
      <c r="J56" t="str">
        <f>VLOOKUP(I56,Product_Catalog!$A$1:$E$11,2,FALSE)</f>
        <v>Instant Noodles 70g</v>
      </c>
      <c r="K56" t="s">
        <v>248</v>
      </c>
      <c r="L56">
        <v>2</v>
      </c>
      <c r="M56" s="3">
        <v>120</v>
      </c>
      <c r="N56" s="3">
        <v>180</v>
      </c>
      <c r="O56" s="3">
        <v>360</v>
      </c>
      <c r="P56" s="3">
        <v>240</v>
      </c>
      <c r="Q56" s="3">
        <v>120</v>
      </c>
      <c r="R56" s="4">
        <v>0.33333333333333331</v>
      </c>
      <c r="S56" t="s">
        <v>43</v>
      </c>
      <c r="T56" t="s">
        <v>367</v>
      </c>
    </row>
    <row r="57" spans="1:20" x14ac:dyDescent="0.35">
      <c r="A57" t="s">
        <v>166</v>
      </c>
      <c r="B57" s="2" t="s">
        <v>336</v>
      </c>
      <c r="C57" s="2" t="s">
        <v>375</v>
      </c>
      <c r="D57" t="s">
        <v>53</v>
      </c>
      <c r="E57" t="s">
        <v>279</v>
      </c>
      <c r="F57" t="s">
        <v>24</v>
      </c>
      <c r="G57" t="s">
        <v>266</v>
      </c>
      <c r="H57" t="s">
        <v>272</v>
      </c>
      <c r="I57" t="s">
        <v>117</v>
      </c>
      <c r="J57" t="str">
        <f>VLOOKUP(I57,Product_Catalog!$A$1:$E$11,2,FALSE)</f>
        <v>Toilet Soap 120g</v>
      </c>
      <c r="K57" t="s">
        <v>256</v>
      </c>
      <c r="L57">
        <v>24</v>
      </c>
      <c r="M57" s="3">
        <v>300</v>
      </c>
      <c r="N57" s="3">
        <v>450</v>
      </c>
      <c r="O57" s="3">
        <v>10800</v>
      </c>
      <c r="P57" s="3">
        <v>7200</v>
      </c>
      <c r="Q57" s="3">
        <v>3600</v>
      </c>
      <c r="R57" s="4">
        <v>0.33333333333333331</v>
      </c>
      <c r="S57" t="s">
        <v>48</v>
      </c>
      <c r="T57" t="s">
        <v>38</v>
      </c>
    </row>
    <row r="58" spans="1:20" x14ac:dyDescent="0.35">
      <c r="A58" t="s">
        <v>169</v>
      </c>
      <c r="B58" s="2" t="s">
        <v>337</v>
      </c>
      <c r="C58" s="2" t="s">
        <v>376</v>
      </c>
      <c r="D58" t="s">
        <v>16</v>
      </c>
      <c r="E58" t="s">
        <v>265</v>
      </c>
      <c r="F58" t="s">
        <v>24</v>
      </c>
      <c r="G58" t="s">
        <v>266</v>
      </c>
      <c r="H58" t="s">
        <v>267</v>
      </c>
      <c r="I58" t="s">
        <v>25</v>
      </c>
      <c r="J58" t="str">
        <f>VLOOKUP(I58,Product_Catalog!$A$1:$E$11,2,FALSE)</f>
        <v>Vegetable Oil 1L</v>
      </c>
      <c r="K58" t="s">
        <v>254</v>
      </c>
      <c r="L58">
        <v>15</v>
      </c>
      <c r="M58" s="3">
        <v>2200</v>
      </c>
      <c r="N58" s="3">
        <v>2900</v>
      </c>
      <c r="O58" s="3">
        <v>43500</v>
      </c>
      <c r="P58" s="3">
        <v>33000</v>
      </c>
      <c r="Q58" s="3">
        <v>10500</v>
      </c>
      <c r="R58" s="4">
        <v>0.2413793103448276</v>
      </c>
      <c r="S58" t="s">
        <v>26</v>
      </c>
      <c r="T58" t="s">
        <v>44</v>
      </c>
    </row>
    <row r="59" spans="1:20" x14ac:dyDescent="0.35">
      <c r="A59" t="s">
        <v>171</v>
      </c>
      <c r="B59" s="2" t="s">
        <v>319</v>
      </c>
      <c r="C59" s="2" t="s">
        <v>375</v>
      </c>
      <c r="D59" t="s">
        <v>133</v>
      </c>
      <c r="E59" t="s">
        <v>271</v>
      </c>
      <c r="F59" t="s">
        <v>24</v>
      </c>
      <c r="G59" t="s">
        <v>266</v>
      </c>
      <c r="H59" t="s">
        <v>272</v>
      </c>
      <c r="I59" t="s">
        <v>126</v>
      </c>
      <c r="J59" t="str">
        <f>VLOOKUP(I59,Product_Catalog!$A$1:$E$11,2,FALSE)</f>
        <v>Malt Beverage 33cl</v>
      </c>
      <c r="K59" t="s">
        <v>246</v>
      </c>
      <c r="L59">
        <v>18</v>
      </c>
      <c r="M59" s="3">
        <v>250</v>
      </c>
      <c r="N59" s="3">
        <v>350</v>
      </c>
      <c r="O59" s="3">
        <v>6300</v>
      </c>
      <c r="P59" s="3">
        <v>4500</v>
      </c>
      <c r="Q59" s="3">
        <v>1800</v>
      </c>
      <c r="R59" s="4">
        <v>0.2857142857142857</v>
      </c>
      <c r="S59" t="s">
        <v>31</v>
      </c>
      <c r="T59" t="s">
        <v>366</v>
      </c>
    </row>
    <row r="60" spans="1:20" x14ac:dyDescent="0.35">
      <c r="A60" t="s">
        <v>172</v>
      </c>
      <c r="B60" s="2" t="s">
        <v>338</v>
      </c>
      <c r="C60" s="2" t="s">
        <v>378</v>
      </c>
      <c r="D60" t="s">
        <v>57</v>
      </c>
      <c r="E60" t="s">
        <v>276</v>
      </c>
      <c r="F60" t="s">
        <v>24</v>
      </c>
      <c r="G60" t="s">
        <v>266</v>
      </c>
      <c r="H60" t="s">
        <v>267</v>
      </c>
      <c r="I60" t="s">
        <v>51</v>
      </c>
      <c r="J60" t="str">
        <f>VLOOKUP(I60,Product_Catalog!$A$1:$E$11,2,FALSE)</f>
        <v>Instant Noodles 70g</v>
      </c>
      <c r="K60" t="s">
        <v>248</v>
      </c>
      <c r="L60">
        <v>4</v>
      </c>
      <c r="M60" s="3">
        <v>120</v>
      </c>
      <c r="N60" s="3">
        <v>180</v>
      </c>
      <c r="O60" s="3">
        <v>720</v>
      </c>
      <c r="P60" s="3">
        <v>480</v>
      </c>
      <c r="Q60" s="3">
        <v>240</v>
      </c>
      <c r="R60" s="4">
        <v>0.33333333333333331</v>
      </c>
      <c r="S60" t="s">
        <v>37</v>
      </c>
      <c r="T60" t="s">
        <v>367</v>
      </c>
    </row>
    <row r="61" spans="1:20" x14ac:dyDescent="0.35">
      <c r="A61" t="s">
        <v>174</v>
      </c>
      <c r="B61" s="2" t="s">
        <v>339</v>
      </c>
      <c r="C61" s="2" t="s">
        <v>377</v>
      </c>
      <c r="D61" t="s">
        <v>63</v>
      </c>
      <c r="E61" t="s">
        <v>277</v>
      </c>
      <c r="F61" t="s">
        <v>42</v>
      </c>
      <c r="G61" t="s">
        <v>269</v>
      </c>
      <c r="H61" t="s">
        <v>278</v>
      </c>
      <c r="I61" t="s">
        <v>85</v>
      </c>
      <c r="J61" t="str">
        <f>VLOOKUP(I61,Product_Catalog!$A$1:$E$11,2,FALSE)</f>
        <v>Toothpaste 140g</v>
      </c>
      <c r="K61" t="s">
        <v>256</v>
      </c>
      <c r="L61">
        <v>13</v>
      </c>
      <c r="M61" s="3">
        <v>450</v>
      </c>
      <c r="N61" s="3">
        <v>650</v>
      </c>
      <c r="O61" s="3">
        <v>8450</v>
      </c>
      <c r="P61" s="3">
        <v>5850</v>
      </c>
      <c r="Q61" s="3">
        <v>2600</v>
      </c>
      <c r="R61" s="4">
        <v>0.30769230769230771</v>
      </c>
      <c r="S61" t="s">
        <v>43</v>
      </c>
      <c r="T61" t="s">
        <v>38</v>
      </c>
    </row>
    <row r="62" spans="1:20" x14ac:dyDescent="0.35">
      <c r="A62" t="s">
        <v>176</v>
      </c>
      <c r="B62" s="2" t="s">
        <v>340</v>
      </c>
      <c r="C62" s="2" t="s">
        <v>375</v>
      </c>
      <c r="D62" t="s">
        <v>131</v>
      </c>
      <c r="E62" t="s">
        <v>273</v>
      </c>
      <c r="F62" t="s">
        <v>42</v>
      </c>
      <c r="G62" t="s">
        <v>274</v>
      </c>
      <c r="H62" t="s">
        <v>275</v>
      </c>
      <c r="I62" t="s">
        <v>30</v>
      </c>
      <c r="J62" t="str">
        <f>VLOOKUP(I62,Product_Catalog!$A$1:$E$11,2,FALSE)</f>
        <v>Basmati Rice 5kg</v>
      </c>
      <c r="K62" t="s">
        <v>258</v>
      </c>
      <c r="L62">
        <v>3</v>
      </c>
      <c r="M62" s="3">
        <v>6500</v>
      </c>
      <c r="N62" s="3">
        <v>8500</v>
      </c>
      <c r="O62" s="3">
        <v>25500</v>
      </c>
      <c r="P62" s="3">
        <v>19500</v>
      </c>
      <c r="Q62" s="3">
        <v>6000</v>
      </c>
      <c r="R62" s="4">
        <v>0.23529411764705882</v>
      </c>
      <c r="S62" t="s">
        <v>48</v>
      </c>
      <c r="T62" t="s">
        <v>44</v>
      </c>
    </row>
    <row r="63" spans="1:20" x14ac:dyDescent="0.35">
      <c r="A63" t="s">
        <v>178</v>
      </c>
      <c r="B63" s="2" t="s">
        <v>341</v>
      </c>
      <c r="C63" s="2" t="s">
        <v>378</v>
      </c>
      <c r="D63" t="s">
        <v>79</v>
      </c>
      <c r="E63" t="s">
        <v>284</v>
      </c>
      <c r="F63" t="s">
        <v>42</v>
      </c>
      <c r="G63" t="s">
        <v>269</v>
      </c>
      <c r="H63" t="s">
        <v>285</v>
      </c>
      <c r="I63" t="s">
        <v>30</v>
      </c>
      <c r="J63" t="str">
        <f>VLOOKUP(I63,Product_Catalog!$A$1:$E$11,2,FALSE)</f>
        <v>Basmati Rice 5kg</v>
      </c>
      <c r="K63" t="s">
        <v>258</v>
      </c>
      <c r="L63">
        <v>18</v>
      </c>
      <c r="M63" s="3">
        <v>6500</v>
      </c>
      <c r="N63" s="3">
        <v>8500</v>
      </c>
      <c r="O63" s="3">
        <v>153000</v>
      </c>
      <c r="P63" s="3">
        <v>117000</v>
      </c>
      <c r="Q63" s="3">
        <v>36000</v>
      </c>
      <c r="R63" s="4">
        <v>0.23529411764705882</v>
      </c>
      <c r="S63" t="s">
        <v>26</v>
      </c>
      <c r="T63" t="s">
        <v>366</v>
      </c>
    </row>
    <row r="64" spans="1:20" x14ac:dyDescent="0.35">
      <c r="A64" t="s">
        <v>180</v>
      </c>
      <c r="B64" s="2" t="s">
        <v>303</v>
      </c>
      <c r="C64" s="2" t="s">
        <v>374</v>
      </c>
      <c r="D64" t="s">
        <v>79</v>
      </c>
      <c r="E64" t="s">
        <v>284</v>
      </c>
      <c r="F64" t="s">
        <v>42</v>
      </c>
      <c r="G64" t="s">
        <v>269</v>
      </c>
      <c r="H64" t="s">
        <v>285</v>
      </c>
      <c r="I64" t="s">
        <v>47</v>
      </c>
      <c r="J64" t="str">
        <f>VLOOKUP(I64,Product_Catalog!$A$1:$E$11,2,FALSE)</f>
        <v>Tomato Paste 400g</v>
      </c>
      <c r="K64" t="s">
        <v>254</v>
      </c>
      <c r="L64">
        <v>10</v>
      </c>
      <c r="M64" s="3">
        <v>600</v>
      </c>
      <c r="N64" s="3">
        <v>850</v>
      </c>
      <c r="O64" s="3">
        <v>8500</v>
      </c>
      <c r="P64" s="3">
        <v>6000</v>
      </c>
      <c r="Q64" s="3">
        <v>2500</v>
      </c>
      <c r="R64" s="4">
        <v>0.29411764705882354</v>
      </c>
      <c r="S64" t="s">
        <v>31</v>
      </c>
      <c r="T64" t="s">
        <v>367</v>
      </c>
    </row>
    <row r="65" spans="1:20" x14ac:dyDescent="0.35">
      <c r="A65" t="s">
        <v>181</v>
      </c>
      <c r="B65" s="2" t="s">
        <v>328</v>
      </c>
      <c r="C65" s="2" t="s">
        <v>372</v>
      </c>
      <c r="D65" t="s">
        <v>76</v>
      </c>
      <c r="E65" t="s">
        <v>289</v>
      </c>
      <c r="F65" t="s">
        <v>24</v>
      </c>
      <c r="G65" t="s">
        <v>269</v>
      </c>
      <c r="H65" t="s">
        <v>281</v>
      </c>
      <c r="I65" t="s">
        <v>126</v>
      </c>
      <c r="J65" t="str">
        <f>VLOOKUP(I65,Product_Catalog!$A$1:$E$11,2,FALSE)</f>
        <v>Malt Beverage 33cl</v>
      </c>
      <c r="K65" t="s">
        <v>246</v>
      </c>
      <c r="L65">
        <v>21</v>
      </c>
      <c r="M65" s="3">
        <v>250</v>
      </c>
      <c r="N65" s="3">
        <v>350</v>
      </c>
      <c r="O65" s="3">
        <v>7350</v>
      </c>
      <c r="P65" s="3">
        <v>5250</v>
      </c>
      <c r="Q65" s="3">
        <v>2100</v>
      </c>
      <c r="R65" s="4">
        <v>0.2857142857142857</v>
      </c>
      <c r="S65" t="s">
        <v>37</v>
      </c>
      <c r="T65" t="s">
        <v>38</v>
      </c>
    </row>
    <row r="66" spans="1:20" x14ac:dyDescent="0.35">
      <c r="A66" t="s">
        <v>182</v>
      </c>
      <c r="B66" s="2" t="s">
        <v>308</v>
      </c>
      <c r="C66" s="2" t="s">
        <v>376</v>
      </c>
      <c r="D66" t="s">
        <v>146</v>
      </c>
      <c r="E66" t="s">
        <v>280</v>
      </c>
      <c r="F66" t="s">
        <v>42</v>
      </c>
      <c r="G66" t="s">
        <v>266</v>
      </c>
      <c r="H66" t="s">
        <v>281</v>
      </c>
      <c r="I66" t="s">
        <v>117</v>
      </c>
      <c r="J66" t="str">
        <f>VLOOKUP(I66,Product_Catalog!$A$1:$E$11,2,FALSE)</f>
        <v>Toilet Soap 120g</v>
      </c>
      <c r="K66" t="s">
        <v>256</v>
      </c>
      <c r="L66">
        <v>20</v>
      </c>
      <c r="M66" s="3">
        <v>300</v>
      </c>
      <c r="N66" s="3">
        <v>450</v>
      </c>
      <c r="O66" s="3">
        <v>9000</v>
      </c>
      <c r="P66" s="3">
        <v>6000</v>
      </c>
      <c r="Q66" s="3">
        <v>3000</v>
      </c>
      <c r="R66" s="4">
        <v>0.33333333333333331</v>
      </c>
      <c r="S66" t="s">
        <v>43</v>
      </c>
      <c r="T66" t="s">
        <v>44</v>
      </c>
    </row>
    <row r="67" spans="1:20" x14ac:dyDescent="0.35">
      <c r="A67" t="s">
        <v>183</v>
      </c>
      <c r="B67" s="2" t="s">
        <v>342</v>
      </c>
      <c r="C67" s="2" t="s">
        <v>372</v>
      </c>
      <c r="D67" t="s">
        <v>131</v>
      </c>
      <c r="E67" t="s">
        <v>273</v>
      </c>
      <c r="F67" t="s">
        <v>42</v>
      </c>
      <c r="G67" t="s">
        <v>274</v>
      </c>
      <c r="H67" t="s">
        <v>275</v>
      </c>
      <c r="I67" t="s">
        <v>25</v>
      </c>
      <c r="J67" t="str">
        <f>VLOOKUP(I67,Product_Catalog!$A$1:$E$11,2,FALSE)</f>
        <v>Vegetable Oil 1L</v>
      </c>
      <c r="K67" t="s">
        <v>254</v>
      </c>
      <c r="L67">
        <v>12</v>
      </c>
      <c r="M67" s="3">
        <v>2200</v>
      </c>
      <c r="N67" s="3">
        <v>2900</v>
      </c>
      <c r="O67" s="3">
        <v>34800</v>
      </c>
      <c r="P67" s="3">
        <v>26400</v>
      </c>
      <c r="Q67" s="3">
        <v>8400</v>
      </c>
      <c r="R67" s="4">
        <v>0.2413793103448276</v>
      </c>
      <c r="S67" t="s">
        <v>48</v>
      </c>
      <c r="T67" t="s">
        <v>366</v>
      </c>
    </row>
    <row r="68" spans="1:20" x14ac:dyDescent="0.35">
      <c r="A68" t="s">
        <v>185</v>
      </c>
      <c r="B68" s="2" t="s">
        <v>343</v>
      </c>
      <c r="C68" s="2" t="s">
        <v>378</v>
      </c>
      <c r="D68" t="s">
        <v>63</v>
      </c>
      <c r="E68" t="s">
        <v>277</v>
      </c>
      <c r="F68" t="s">
        <v>42</v>
      </c>
      <c r="G68" t="s">
        <v>269</v>
      </c>
      <c r="H68" t="s">
        <v>278</v>
      </c>
      <c r="I68" t="s">
        <v>51</v>
      </c>
      <c r="J68" t="str">
        <f>VLOOKUP(I68,Product_Catalog!$A$1:$E$11,2,FALSE)</f>
        <v>Instant Noodles 70g</v>
      </c>
      <c r="K68" t="s">
        <v>248</v>
      </c>
      <c r="L68">
        <v>19</v>
      </c>
      <c r="M68" s="3">
        <v>120</v>
      </c>
      <c r="N68" s="3">
        <v>180</v>
      </c>
      <c r="O68" s="3">
        <v>3420</v>
      </c>
      <c r="P68" s="3">
        <v>2280</v>
      </c>
      <c r="Q68" s="3">
        <v>1140</v>
      </c>
      <c r="R68" s="4">
        <v>0.33333333333333331</v>
      </c>
      <c r="S68" t="s">
        <v>26</v>
      </c>
      <c r="T68" t="s">
        <v>367</v>
      </c>
    </row>
    <row r="69" spans="1:20" x14ac:dyDescent="0.35">
      <c r="A69" t="s">
        <v>187</v>
      </c>
      <c r="B69" s="2" t="s">
        <v>344</v>
      </c>
      <c r="C69" s="2" t="s">
        <v>374</v>
      </c>
      <c r="D69" t="s">
        <v>79</v>
      </c>
      <c r="E69" t="s">
        <v>284</v>
      </c>
      <c r="F69" t="s">
        <v>42</v>
      </c>
      <c r="G69" t="s">
        <v>269</v>
      </c>
      <c r="H69" t="s">
        <v>285</v>
      </c>
      <c r="I69" t="s">
        <v>117</v>
      </c>
      <c r="J69" t="str">
        <f>VLOOKUP(I69,Product_Catalog!$A$1:$E$11,2,FALSE)</f>
        <v>Toilet Soap 120g</v>
      </c>
      <c r="K69" t="s">
        <v>256</v>
      </c>
      <c r="L69">
        <v>7</v>
      </c>
      <c r="M69" s="3">
        <v>300</v>
      </c>
      <c r="N69" s="3">
        <v>450</v>
      </c>
      <c r="O69" s="3">
        <v>3150</v>
      </c>
      <c r="P69" s="3">
        <v>2100</v>
      </c>
      <c r="Q69" s="3">
        <v>1050</v>
      </c>
      <c r="R69" s="4">
        <v>0.33333333333333331</v>
      </c>
      <c r="S69" t="s">
        <v>31</v>
      </c>
      <c r="T69" t="s">
        <v>38</v>
      </c>
    </row>
    <row r="70" spans="1:20" x14ac:dyDescent="0.35">
      <c r="A70" t="s">
        <v>189</v>
      </c>
      <c r="B70" s="2" t="s">
        <v>345</v>
      </c>
      <c r="C70" s="2" t="s">
        <v>376</v>
      </c>
      <c r="D70" t="s">
        <v>41</v>
      </c>
      <c r="E70" t="s">
        <v>282</v>
      </c>
      <c r="F70" t="s">
        <v>42</v>
      </c>
      <c r="G70" t="s">
        <v>274</v>
      </c>
      <c r="H70" t="s">
        <v>267</v>
      </c>
      <c r="I70" t="s">
        <v>126</v>
      </c>
      <c r="J70" t="str">
        <f>VLOOKUP(I70,Product_Catalog!$A$1:$E$11,2,FALSE)</f>
        <v>Malt Beverage 33cl</v>
      </c>
      <c r="K70" t="s">
        <v>246</v>
      </c>
      <c r="L70">
        <v>23</v>
      </c>
      <c r="M70" s="3">
        <v>250</v>
      </c>
      <c r="N70" s="3">
        <v>350</v>
      </c>
      <c r="O70" s="3">
        <v>8050</v>
      </c>
      <c r="P70" s="3">
        <v>5750</v>
      </c>
      <c r="Q70" s="3">
        <v>2300</v>
      </c>
      <c r="R70" s="4">
        <v>0.2857142857142857</v>
      </c>
      <c r="S70" t="s">
        <v>37</v>
      </c>
      <c r="T70" t="s">
        <v>44</v>
      </c>
    </row>
    <row r="71" spans="1:20" x14ac:dyDescent="0.35">
      <c r="A71" t="s">
        <v>192</v>
      </c>
      <c r="B71" s="2" t="s">
        <v>343</v>
      </c>
      <c r="C71" s="2" t="s">
        <v>378</v>
      </c>
      <c r="D71" t="s">
        <v>92</v>
      </c>
      <c r="E71" t="s">
        <v>287</v>
      </c>
      <c r="F71" t="s">
        <v>42</v>
      </c>
      <c r="G71" t="s">
        <v>274</v>
      </c>
      <c r="H71" t="s">
        <v>267</v>
      </c>
      <c r="I71" t="s">
        <v>117</v>
      </c>
      <c r="J71" t="str">
        <f>VLOOKUP(I71,Product_Catalog!$A$1:$E$11,2,FALSE)</f>
        <v>Toilet Soap 120g</v>
      </c>
      <c r="K71" t="s">
        <v>256</v>
      </c>
      <c r="L71">
        <v>3</v>
      </c>
      <c r="M71" s="3">
        <v>300</v>
      </c>
      <c r="N71" s="3">
        <v>450</v>
      </c>
      <c r="O71" s="3">
        <v>1350</v>
      </c>
      <c r="P71" s="3">
        <v>900</v>
      </c>
      <c r="Q71" s="3">
        <v>450</v>
      </c>
      <c r="R71" s="4">
        <v>0.33333333333333331</v>
      </c>
      <c r="S71" t="s">
        <v>43</v>
      </c>
      <c r="T71" t="s">
        <v>366</v>
      </c>
    </row>
    <row r="72" spans="1:20" x14ac:dyDescent="0.35">
      <c r="A72" t="s">
        <v>193</v>
      </c>
      <c r="B72" s="2" t="s">
        <v>346</v>
      </c>
      <c r="C72" s="2" t="s">
        <v>372</v>
      </c>
      <c r="D72" t="s">
        <v>131</v>
      </c>
      <c r="E72" t="s">
        <v>273</v>
      </c>
      <c r="F72" t="s">
        <v>42</v>
      </c>
      <c r="G72" t="s">
        <v>274</v>
      </c>
      <c r="H72" t="s">
        <v>275</v>
      </c>
      <c r="I72" t="s">
        <v>18</v>
      </c>
      <c r="J72" t="str">
        <f>VLOOKUP(I72,Product_Catalog!$A$1:$E$11,2,FALSE)</f>
        <v>Whole Milk Powder 400g</v>
      </c>
      <c r="K72" t="s">
        <v>250</v>
      </c>
      <c r="L72">
        <v>2</v>
      </c>
      <c r="M72" s="3">
        <v>1800</v>
      </c>
      <c r="N72" s="3">
        <v>2400</v>
      </c>
      <c r="O72" s="3">
        <v>4800</v>
      </c>
      <c r="P72" s="3">
        <v>3600</v>
      </c>
      <c r="Q72" s="3">
        <v>1200</v>
      </c>
      <c r="R72" s="4">
        <v>0.25</v>
      </c>
      <c r="S72" t="s">
        <v>48</v>
      </c>
      <c r="T72" t="s">
        <v>367</v>
      </c>
    </row>
    <row r="73" spans="1:20" x14ac:dyDescent="0.35">
      <c r="A73" t="s">
        <v>195</v>
      </c>
      <c r="B73" s="2" t="s">
        <v>347</v>
      </c>
      <c r="C73" s="2" t="s">
        <v>378</v>
      </c>
      <c r="D73" t="s">
        <v>133</v>
      </c>
      <c r="E73" t="s">
        <v>271</v>
      </c>
      <c r="F73" t="s">
        <v>24</v>
      </c>
      <c r="G73" t="s">
        <v>266</v>
      </c>
      <c r="H73" t="s">
        <v>272</v>
      </c>
      <c r="I73" t="s">
        <v>93</v>
      </c>
      <c r="J73" t="str">
        <f>VLOOKUP(I73,Product_Catalog!$A$1:$E$11,2,FALSE)</f>
        <v>Laundry Detergent 1kg</v>
      </c>
      <c r="K73" t="s">
        <v>252</v>
      </c>
      <c r="L73">
        <v>22</v>
      </c>
      <c r="M73" s="3">
        <v>850</v>
      </c>
      <c r="N73" s="3">
        <v>1200</v>
      </c>
      <c r="O73" s="3">
        <v>26400</v>
      </c>
      <c r="P73" s="3">
        <v>18700</v>
      </c>
      <c r="Q73" s="3">
        <v>7700</v>
      </c>
      <c r="R73" s="4">
        <v>0.29166666666666669</v>
      </c>
      <c r="S73" t="s">
        <v>26</v>
      </c>
      <c r="T73" t="s">
        <v>38</v>
      </c>
    </row>
    <row r="74" spans="1:20" x14ac:dyDescent="0.35">
      <c r="A74" t="s">
        <v>197</v>
      </c>
      <c r="B74" s="2" t="s">
        <v>348</v>
      </c>
      <c r="C74" s="2" t="s">
        <v>375</v>
      </c>
      <c r="D74" t="s">
        <v>133</v>
      </c>
      <c r="E74" t="s">
        <v>271</v>
      </c>
      <c r="F74" t="s">
        <v>24</v>
      </c>
      <c r="G74" t="s">
        <v>266</v>
      </c>
      <c r="H74" t="s">
        <v>272</v>
      </c>
      <c r="I74" t="s">
        <v>85</v>
      </c>
      <c r="J74" t="str">
        <f>VLOOKUP(I74,Product_Catalog!$A$1:$E$11,2,FALSE)</f>
        <v>Toothpaste 140g</v>
      </c>
      <c r="K74" t="s">
        <v>256</v>
      </c>
      <c r="L74">
        <v>8</v>
      </c>
      <c r="M74" s="3">
        <v>450</v>
      </c>
      <c r="N74" s="3">
        <v>650</v>
      </c>
      <c r="O74" s="3">
        <v>5200</v>
      </c>
      <c r="P74" s="3">
        <v>3600</v>
      </c>
      <c r="Q74" s="3">
        <v>1600</v>
      </c>
      <c r="R74" s="4">
        <v>0.30769230769230771</v>
      </c>
      <c r="S74" t="s">
        <v>31</v>
      </c>
      <c r="T74" t="s">
        <v>44</v>
      </c>
    </row>
    <row r="75" spans="1:20" x14ac:dyDescent="0.35">
      <c r="A75" t="s">
        <v>199</v>
      </c>
      <c r="B75" s="2" t="s">
        <v>330</v>
      </c>
      <c r="C75" s="2" t="s">
        <v>376</v>
      </c>
      <c r="D75" t="s">
        <v>131</v>
      </c>
      <c r="E75" t="s">
        <v>273</v>
      </c>
      <c r="F75" t="s">
        <v>42</v>
      </c>
      <c r="G75" t="s">
        <v>274</v>
      </c>
      <c r="H75" t="s">
        <v>275</v>
      </c>
      <c r="I75" t="s">
        <v>18</v>
      </c>
      <c r="J75" t="str">
        <f>VLOOKUP(I75,Product_Catalog!$A$1:$E$11,2,FALSE)</f>
        <v>Whole Milk Powder 400g</v>
      </c>
      <c r="K75" t="s">
        <v>250</v>
      </c>
      <c r="L75">
        <v>25</v>
      </c>
      <c r="M75" s="3">
        <v>1800</v>
      </c>
      <c r="N75" s="3">
        <v>2400</v>
      </c>
      <c r="O75" s="3">
        <v>60000</v>
      </c>
      <c r="P75" s="3">
        <v>45000</v>
      </c>
      <c r="Q75" s="3">
        <v>15000</v>
      </c>
      <c r="R75" s="4">
        <v>0.25</v>
      </c>
      <c r="S75" t="s">
        <v>37</v>
      </c>
      <c r="T75" t="s">
        <v>366</v>
      </c>
    </row>
    <row r="76" spans="1:20" x14ac:dyDescent="0.35">
      <c r="A76" t="s">
        <v>200</v>
      </c>
      <c r="B76" s="2" t="s">
        <v>349</v>
      </c>
      <c r="C76" s="2" t="s">
        <v>374</v>
      </c>
      <c r="D76" t="s">
        <v>131</v>
      </c>
      <c r="E76" t="s">
        <v>273</v>
      </c>
      <c r="F76" t="s">
        <v>42</v>
      </c>
      <c r="G76" t="s">
        <v>274</v>
      </c>
      <c r="H76" t="s">
        <v>275</v>
      </c>
      <c r="I76" t="s">
        <v>30</v>
      </c>
      <c r="J76" t="str">
        <f>VLOOKUP(I76,Product_Catalog!$A$1:$E$11,2,FALSE)</f>
        <v>Basmati Rice 5kg</v>
      </c>
      <c r="K76" t="s">
        <v>258</v>
      </c>
      <c r="L76">
        <v>10</v>
      </c>
      <c r="M76" s="3">
        <v>6500</v>
      </c>
      <c r="N76" s="3">
        <v>8500</v>
      </c>
      <c r="O76" s="3">
        <v>85000</v>
      </c>
      <c r="P76" s="3">
        <v>65000</v>
      </c>
      <c r="Q76" s="3">
        <v>20000</v>
      </c>
      <c r="R76" s="4">
        <v>0.23529411764705882</v>
      </c>
      <c r="S76" t="s">
        <v>43</v>
      </c>
      <c r="T76" t="s">
        <v>367</v>
      </c>
    </row>
    <row r="77" spans="1:20" x14ac:dyDescent="0.35">
      <c r="A77" t="s">
        <v>202</v>
      </c>
      <c r="B77" s="2" t="s">
        <v>350</v>
      </c>
      <c r="C77" s="2" t="s">
        <v>378</v>
      </c>
      <c r="D77" t="s">
        <v>16</v>
      </c>
      <c r="E77" t="s">
        <v>265</v>
      </c>
      <c r="F77" t="s">
        <v>24</v>
      </c>
      <c r="G77" t="s">
        <v>266</v>
      </c>
      <c r="H77" t="s">
        <v>267</v>
      </c>
      <c r="I77" t="s">
        <v>36</v>
      </c>
      <c r="J77" t="str">
        <f>VLOOKUP(I77,Product_Catalog!$A$1:$E$11,2,FALSE)</f>
        <v>Fruit Juice 1L</v>
      </c>
      <c r="K77" t="s">
        <v>246</v>
      </c>
      <c r="L77">
        <v>3</v>
      </c>
      <c r="M77" s="3">
        <v>750</v>
      </c>
      <c r="N77" s="3">
        <v>1100</v>
      </c>
      <c r="O77" s="3">
        <v>3300</v>
      </c>
      <c r="P77" s="3">
        <v>2250</v>
      </c>
      <c r="Q77" s="3">
        <v>1050</v>
      </c>
      <c r="R77" s="4">
        <v>0.31818181818181818</v>
      </c>
      <c r="S77" t="s">
        <v>48</v>
      </c>
      <c r="T77" t="s">
        <v>38</v>
      </c>
    </row>
    <row r="78" spans="1:20" x14ac:dyDescent="0.35">
      <c r="A78" t="s">
        <v>204</v>
      </c>
      <c r="B78" s="2" t="s">
        <v>294</v>
      </c>
      <c r="C78" s="2" t="s">
        <v>376</v>
      </c>
      <c r="D78" t="s">
        <v>53</v>
      </c>
      <c r="E78" t="s">
        <v>279</v>
      </c>
      <c r="F78" t="s">
        <v>24</v>
      </c>
      <c r="G78" t="s">
        <v>266</v>
      </c>
      <c r="H78" t="s">
        <v>272</v>
      </c>
      <c r="I78" t="s">
        <v>47</v>
      </c>
      <c r="J78" t="str">
        <f>VLOOKUP(I78,Product_Catalog!$A$1:$E$11,2,FALSE)</f>
        <v>Tomato Paste 400g</v>
      </c>
      <c r="K78" t="s">
        <v>254</v>
      </c>
      <c r="L78">
        <v>8</v>
      </c>
      <c r="M78" s="3">
        <v>600</v>
      </c>
      <c r="N78" s="3">
        <v>850</v>
      </c>
      <c r="O78" s="3">
        <v>6800</v>
      </c>
      <c r="P78" s="3">
        <v>4800</v>
      </c>
      <c r="Q78" s="3">
        <v>2000</v>
      </c>
      <c r="R78" s="4">
        <v>0.29411764705882354</v>
      </c>
      <c r="S78" t="s">
        <v>26</v>
      </c>
      <c r="T78" t="s">
        <v>44</v>
      </c>
    </row>
    <row r="79" spans="1:20" x14ac:dyDescent="0.35">
      <c r="A79" t="s">
        <v>205</v>
      </c>
      <c r="B79" s="2" t="s">
        <v>351</v>
      </c>
      <c r="C79" s="2" t="s">
        <v>378</v>
      </c>
      <c r="D79" t="s">
        <v>146</v>
      </c>
      <c r="E79" t="s">
        <v>280</v>
      </c>
      <c r="F79" t="s">
        <v>42</v>
      </c>
      <c r="G79" t="s">
        <v>266</v>
      </c>
      <c r="H79" t="s">
        <v>281</v>
      </c>
      <c r="I79" t="s">
        <v>51</v>
      </c>
      <c r="J79" t="str">
        <f>VLOOKUP(I79,Product_Catalog!$A$1:$E$11,2,FALSE)</f>
        <v>Instant Noodles 70g</v>
      </c>
      <c r="K79" t="s">
        <v>248</v>
      </c>
      <c r="L79">
        <v>4</v>
      </c>
      <c r="M79" s="3">
        <v>120</v>
      </c>
      <c r="N79" s="3">
        <v>180</v>
      </c>
      <c r="O79" s="3">
        <v>720</v>
      </c>
      <c r="P79" s="3">
        <v>480</v>
      </c>
      <c r="Q79" s="3">
        <v>240</v>
      </c>
      <c r="R79" s="4">
        <v>0.33333333333333331</v>
      </c>
      <c r="S79" t="s">
        <v>31</v>
      </c>
      <c r="T79" t="s">
        <v>366</v>
      </c>
    </row>
    <row r="80" spans="1:20" x14ac:dyDescent="0.35">
      <c r="A80" t="s">
        <v>207</v>
      </c>
      <c r="B80" s="2" t="s">
        <v>352</v>
      </c>
      <c r="C80" s="2" t="s">
        <v>377</v>
      </c>
      <c r="D80" t="s">
        <v>79</v>
      </c>
      <c r="E80" t="s">
        <v>284</v>
      </c>
      <c r="F80" t="s">
        <v>42</v>
      </c>
      <c r="G80" t="s">
        <v>269</v>
      </c>
      <c r="H80" t="s">
        <v>285</v>
      </c>
      <c r="I80" t="s">
        <v>126</v>
      </c>
      <c r="J80" t="str">
        <f>VLOOKUP(I80,Product_Catalog!$A$1:$E$11,2,FALSE)</f>
        <v>Malt Beverage 33cl</v>
      </c>
      <c r="K80" t="s">
        <v>246</v>
      </c>
      <c r="L80">
        <v>13</v>
      </c>
      <c r="M80" s="3">
        <v>250</v>
      </c>
      <c r="N80" s="3">
        <v>350</v>
      </c>
      <c r="O80" s="3">
        <v>4550</v>
      </c>
      <c r="P80" s="3">
        <v>3250</v>
      </c>
      <c r="Q80" s="3">
        <v>1300</v>
      </c>
      <c r="R80" s="4">
        <v>0.2857142857142857</v>
      </c>
      <c r="S80" t="s">
        <v>37</v>
      </c>
      <c r="T80" t="s">
        <v>367</v>
      </c>
    </row>
    <row r="81" spans="1:20" x14ac:dyDescent="0.35">
      <c r="A81" t="s">
        <v>209</v>
      </c>
      <c r="B81" s="2" t="s">
        <v>335</v>
      </c>
      <c r="C81" s="2" t="s">
        <v>374</v>
      </c>
      <c r="D81" t="s">
        <v>41</v>
      </c>
      <c r="E81" t="s">
        <v>282</v>
      </c>
      <c r="F81" t="s">
        <v>42</v>
      </c>
      <c r="G81" t="s">
        <v>274</v>
      </c>
      <c r="H81" t="s">
        <v>267</v>
      </c>
      <c r="I81" t="s">
        <v>36</v>
      </c>
      <c r="J81" t="str">
        <f>VLOOKUP(I81,Product_Catalog!$A$1:$E$11,2,FALSE)</f>
        <v>Fruit Juice 1L</v>
      </c>
      <c r="K81" t="s">
        <v>246</v>
      </c>
      <c r="L81">
        <v>9</v>
      </c>
      <c r="M81" s="3">
        <v>750</v>
      </c>
      <c r="N81" s="3">
        <v>1100</v>
      </c>
      <c r="O81" s="3">
        <v>9900</v>
      </c>
      <c r="P81" s="3">
        <v>6750</v>
      </c>
      <c r="Q81" s="3">
        <v>3150</v>
      </c>
      <c r="R81" s="4">
        <v>0.31818181818181818</v>
      </c>
      <c r="S81" t="s">
        <v>43</v>
      </c>
      <c r="T81" t="s">
        <v>38</v>
      </c>
    </row>
    <row r="82" spans="1:20" x14ac:dyDescent="0.35">
      <c r="A82" t="s">
        <v>210</v>
      </c>
      <c r="B82" s="2" t="s">
        <v>307</v>
      </c>
      <c r="C82" s="2" t="s">
        <v>378</v>
      </c>
      <c r="D82" t="s">
        <v>53</v>
      </c>
      <c r="E82" t="s">
        <v>279</v>
      </c>
      <c r="F82" t="s">
        <v>24</v>
      </c>
      <c r="G82" t="s">
        <v>266</v>
      </c>
      <c r="H82" t="s">
        <v>272</v>
      </c>
      <c r="I82" t="s">
        <v>51</v>
      </c>
      <c r="J82" t="str">
        <f>VLOOKUP(I82,Product_Catalog!$A$1:$E$11,2,FALSE)</f>
        <v>Instant Noodles 70g</v>
      </c>
      <c r="K82" t="s">
        <v>248</v>
      </c>
      <c r="L82">
        <v>15</v>
      </c>
      <c r="M82" s="3">
        <v>120</v>
      </c>
      <c r="N82" s="3">
        <v>180</v>
      </c>
      <c r="O82" s="3">
        <v>2700</v>
      </c>
      <c r="P82" s="3">
        <v>1800</v>
      </c>
      <c r="Q82" s="3">
        <v>900</v>
      </c>
      <c r="R82" s="4">
        <v>0.33333333333333331</v>
      </c>
      <c r="S82" t="s">
        <v>48</v>
      </c>
      <c r="T82" t="s">
        <v>44</v>
      </c>
    </row>
    <row r="83" spans="1:20" x14ac:dyDescent="0.35">
      <c r="A83" t="s">
        <v>211</v>
      </c>
      <c r="B83" s="2" t="s">
        <v>353</v>
      </c>
      <c r="C83" s="2" t="s">
        <v>376</v>
      </c>
      <c r="D83" t="s">
        <v>133</v>
      </c>
      <c r="E83" t="s">
        <v>271</v>
      </c>
      <c r="F83" t="s">
        <v>24</v>
      </c>
      <c r="G83" t="s">
        <v>266</v>
      </c>
      <c r="H83" t="s">
        <v>272</v>
      </c>
      <c r="I83" t="s">
        <v>85</v>
      </c>
      <c r="J83" t="str">
        <f>VLOOKUP(I83,Product_Catalog!$A$1:$E$11,2,FALSE)</f>
        <v>Toothpaste 140g</v>
      </c>
      <c r="K83" t="s">
        <v>256</v>
      </c>
      <c r="L83">
        <v>21</v>
      </c>
      <c r="M83" s="3">
        <v>450</v>
      </c>
      <c r="N83" s="3">
        <v>650</v>
      </c>
      <c r="O83" s="3">
        <v>13650</v>
      </c>
      <c r="P83" s="3">
        <v>9450</v>
      </c>
      <c r="Q83" s="3">
        <v>4200</v>
      </c>
      <c r="R83" s="4">
        <v>0.30769230769230771</v>
      </c>
      <c r="S83" t="s">
        <v>26</v>
      </c>
      <c r="T83" t="s">
        <v>366</v>
      </c>
    </row>
    <row r="84" spans="1:20" x14ac:dyDescent="0.35">
      <c r="A84" t="s">
        <v>213</v>
      </c>
      <c r="B84" s="2" t="s">
        <v>354</v>
      </c>
      <c r="C84" s="2" t="s">
        <v>375</v>
      </c>
      <c r="D84" t="s">
        <v>35</v>
      </c>
      <c r="E84" t="s">
        <v>286</v>
      </c>
      <c r="F84" t="s">
        <v>24</v>
      </c>
      <c r="G84" t="s">
        <v>266</v>
      </c>
      <c r="H84" t="s">
        <v>275</v>
      </c>
      <c r="I84" t="s">
        <v>30</v>
      </c>
      <c r="J84" t="str">
        <f>VLOOKUP(I84,Product_Catalog!$A$1:$E$11,2,FALSE)</f>
        <v>Basmati Rice 5kg</v>
      </c>
      <c r="K84" t="s">
        <v>258</v>
      </c>
      <c r="L84">
        <v>12</v>
      </c>
      <c r="M84" s="3">
        <v>6500</v>
      </c>
      <c r="N84" s="3">
        <v>8500</v>
      </c>
      <c r="O84" s="3">
        <v>102000</v>
      </c>
      <c r="P84" s="3">
        <v>78000</v>
      </c>
      <c r="Q84" s="3">
        <v>24000</v>
      </c>
      <c r="R84" s="4">
        <v>0.23529411764705882</v>
      </c>
      <c r="S84" t="s">
        <v>31</v>
      </c>
      <c r="T84" t="s">
        <v>367</v>
      </c>
    </row>
    <row r="85" spans="1:20" x14ac:dyDescent="0.35">
      <c r="A85" t="s">
        <v>215</v>
      </c>
      <c r="B85" s="2" t="s">
        <v>355</v>
      </c>
      <c r="C85" s="2" t="s">
        <v>372</v>
      </c>
      <c r="D85" t="s">
        <v>41</v>
      </c>
      <c r="E85" t="s">
        <v>282</v>
      </c>
      <c r="F85" t="s">
        <v>42</v>
      </c>
      <c r="G85" t="s">
        <v>274</v>
      </c>
      <c r="H85" t="s">
        <v>267</v>
      </c>
      <c r="I85" t="s">
        <v>85</v>
      </c>
      <c r="J85" t="str">
        <f>VLOOKUP(I85,Product_Catalog!$A$1:$E$11,2,FALSE)</f>
        <v>Toothpaste 140g</v>
      </c>
      <c r="K85" t="s">
        <v>256</v>
      </c>
      <c r="L85">
        <v>6</v>
      </c>
      <c r="M85" s="3">
        <v>450</v>
      </c>
      <c r="N85" s="3">
        <v>650</v>
      </c>
      <c r="O85" s="3">
        <v>3900</v>
      </c>
      <c r="P85" s="3">
        <v>2700</v>
      </c>
      <c r="Q85" s="3">
        <v>1200</v>
      </c>
      <c r="R85" s="4">
        <v>0.30769230769230771</v>
      </c>
      <c r="S85" t="s">
        <v>37</v>
      </c>
      <c r="T85" t="s">
        <v>38</v>
      </c>
    </row>
    <row r="86" spans="1:20" x14ac:dyDescent="0.35">
      <c r="A86" t="s">
        <v>217</v>
      </c>
      <c r="B86" s="2" t="s">
        <v>356</v>
      </c>
      <c r="C86" s="2" t="s">
        <v>378</v>
      </c>
      <c r="D86" t="s">
        <v>35</v>
      </c>
      <c r="E86" t="s">
        <v>286</v>
      </c>
      <c r="F86" t="s">
        <v>24</v>
      </c>
      <c r="G86" t="s">
        <v>266</v>
      </c>
      <c r="H86" t="s">
        <v>275</v>
      </c>
      <c r="I86" t="s">
        <v>93</v>
      </c>
      <c r="J86" t="str">
        <f>VLOOKUP(I86,Product_Catalog!$A$1:$E$11,2,FALSE)</f>
        <v>Laundry Detergent 1kg</v>
      </c>
      <c r="K86" t="s">
        <v>252</v>
      </c>
      <c r="L86">
        <v>12</v>
      </c>
      <c r="M86" s="3">
        <v>850</v>
      </c>
      <c r="N86" s="3">
        <v>1200</v>
      </c>
      <c r="O86" s="3">
        <v>14400</v>
      </c>
      <c r="P86" s="3">
        <v>10200</v>
      </c>
      <c r="Q86" s="3">
        <v>4200</v>
      </c>
      <c r="R86" s="4">
        <v>0.29166666666666669</v>
      </c>
      <c r="S86" t="s">
        <v>43</v>
      </c>
      <c r="T86" t="s">
        <v>44</v>
      </c>
    </row>
    <row r="87" spans="1:20" x14ac:dyDescent="0.35">
      <c r="A87" t="s">
        <v>219</v>
      </c>
      <c r="B87" s="2" t="s">
        <v>357</v>
      </c>
      <c r="C87" s="2" t="s">
        <v>375</v>
      </c>
      <c r="D87" t="s">
        <v>157</v>
      </c>
      <c r="E87" t="s">
        <v>268</v>
      </c>
      <c r="F87" t="s">
        <v>42</v>
      </c>
      <c r="G87" t="s">
        <v>269</v>
      </c>
      <c r="H87" t="s">
        <v>270</v>
      </c>
      <c r="I87" t="s">
        <v>126</v>
      </c>
      <c r="J87" t="str">
        <f>VLOOKUP(I87,Product_Catalog!$A$1:$E$11,2,FALSE)</f>
        <v>Malt Beverage 33cl</v>
      </c>
      <c r="K87" t="s">
        <v>246</v>
      </c>
      <c r="L87">
        <v>12</v>
      </c>
      <c r="M87" s="3">
        <v>250</v>
      </c>
      <c r="N87" s="3">
        <v>350</v>
      </c>
      <c r="O87" s="3">
        <v>4200</v>
      </c>
      <c r="P87" s="3">
        <v>3000</v>
      </c>
      <c r="Q87" s="3">
        <v>1200</v>
      </c>
      <c r="R87" s="4">
        <v>0.2857142857142857</v>
      </c>
      <c r="S87" t="s">
        <v>48</v>
      </c>
      <c r="T87" t="s">
        <v>366</v>
      </c>
    </row>
    <row r="88" spans="1:20" x14ac:dyDescent="0.35">
      <c r="A88" t="s">
        <v>221</v>
      </c>
      <c r="B88" s="2" t="s">
        <v>294</v>
      </c>
      <c r="C88" s="2" t="s">
        <v>376</v>
      </c>
      <c r="D88" t="s">
        <v>97</v>
      </c>
      <c r="E88" t="s">
        <v>288</v>
      </c>
      <c r="F88" t="s">
        <v>42</v>
      </c>
      <c r="G88" t="s">
        <v>266</v>
      </c>
      <c r="H88" t="s">
        <v>272</v>
      </c>
      <c r="I88" t="s">
        <v>126</v>
      </c>
      <c r="J88" t="str">
        <f>VLOOKUP(I88,Product_Catalog!$A$1:$E$11,2,FALSE)</f>
        <v>Malt Beverage 33cl</v>
      </c>
      <c r="K88" t="s">
        <v>246</v>
      </c>
      <c r="L88">
        <v>7</v>
      </c>
      <c r="M88" s="3">
        <v>250</v>
      </c>
      <c r="N88" s="3">
        <v>350</v>
      </c>
      <c r="O88" s="3">
        <v>2450</v>
      </c>
      <c r="P88" s="3">
        <v>1750</v>
      </c>
      <c r="Q88" s="3">
        <v>700</v>
      </c>
      <c r="R88" s="4">
        <v>0.2857142857142857</v>
      </c>
      <c r="S88" t="s">
        <v>26</v>
      </c>
      <c r="T88" t="s">
        <v>367</v>
      </c>
    </row>
    <row r="89" spans="1:20" x14ac:dyDescent="0.35">
      <c r="A89" t="s">
        <v>222</v>
      </c>
      <c r="B89" s="2" t="s">
        <v>358</v>
      </c>
      <c r="C89" s="2" t="s">
        <v>378</v>
      </c>
      <c r="D89" t="s">
        <v>57</v>
      </c>
      <c r="E89" t="s">
        <v>276</v>
      </c>
      <c r="F89" t="s">
        <v>24</v>
      </c>
      <c r="G89" t="s">
        <v>266</v>
      </c>
      <c r="H89" t="s">
        <v>267</v>
      </c>
      <c r="I89" t="s">
        <v>25</v>
      </c>
      <c r="J89" t="str">
        <f>VLOOKUP(I89,Product_Catalog!$A$1:$E$11,2,FALSE)</f>
        <v>Vegetable Oil 1L</v>
      </c>
      <c r="K89" t="s">
        <v>254</v>
      </c>
      <c r="L89">
        <v>22</v>
      </c>
      <c r="M89" s="3">
        <v>2200</v>
      </c>
      <c r="N89" s="3">
        <v>2900</v>
      </c>
      <c r="O89" s="3">
        <v>63800</v>
      </c>
      <c r="P89" s="3">
        <v>48400</v>
      </c>
      <c r="Q89" s="3">
        <v>15400</v>
      </c>
      <c r="R89" s="4">
        <v>0.2413793103448276</v>
      </c>
      <c r="S89" t="s">
        <v>31</v>
      </c>
      <c r="T89" t="s">
        <v>38</v>
      </c>
    </row>
    <row r="90" spans="1:20" x14ac:dyDescent="0.35">
      <c r="A90" t="s">
        <v>224</v>
      </c>
      <c r="B90" s="2" t="s">
        <v>359</v>
      </c>
      <c r="C90" s="2" t="s">
        <v>377</v>
      </c>
      <c r="D90" t="s">
        <v>41</v>
      </c>
      <c r="E90" t="s">
        <v>282</v>
      </c>
      <c r="F90" t="s">
        <v>42</v>
      </c>
      <c r="G90" t="s">
        <v>274</v>
      </c>
      <c r="H90" t="s">
        <v>267</v>
      </c>
      <c r="I90" t="s">
        <v>30</v>
      </c>
      <c r="J90" t="str">
        <f>VLOOKUP(I90,Product_Catalog!$A$1:$E$11,2,FALSE)</f>
        <v>Basmati Rice 5kg</v>
      </c>
      <c r="K90" t="s">
        <v>258</v>
      </c>
      <c r="L90">
        <v>9</v>
      </c>
      <c r="M90" s="3">
        <v>6500</v>
      </c>
      <c r="N90" s="3">
        <v>8500</v>
      </c>
      <c r="O90" s="3">
        <v>76500</v>
      </c>
      <c r="P90" s="3">
        <v>58500</v>
      </c>
      <c r="Q90" s="3">
        <v>18000</v>
      </c>
      <c r="R90" s="4">
        <v>0.23529411764705882</v>
      </c>
      <c r="S90" t="s">
        <v>37</v>
      </c>
      <c r="T90" t="s">
        <v>44</v>
      </c>
    </row>
    <row r="91" spans="1:20" x14ac:dyDescent="0.35">
      <c r="A91" t="s">
        <v>226</v>
      </c>
      <c r="B91" s="2" t="s">
        <v>315</v>
      </c>
      <c r="C91" s="2" t="s">
        <v>377</v>
      </c>
      <c r="D91" t="s">
        <v>133</v>
      </c>
      <c r="E91" t="s">
        <v>271</v>
      </c>
      <c r="F91" t="s">
        <v>24</v>
      </c>
      <c r="G91" t="s">
        <v>266</v>
      </c>
      <c r="H91" t="s">
        <v>272</v>
      </c>
      <c r="I91" t="s">
        <v>36</v>
      </c>
      <c r="J91" t="str">
        <f>VLOOKUP(I91,Product_Catalog!$A$1:$E$11,2,FALSE)</f>
        <v>Fruit Juice 1L</v>
      </c>
      <c r="K91" t="s">
        <v>246</v>
      </c>
      <c r="L91">
        <v>23</v>
      </c>
      <c r="M91" s="3">
        <v>750</v>
      </c>
      <c r="N91" s="3">
        <v>1100</v>
      </c>
      <c r="O91" s="3">
        <v>25300</v>
      </c>
      <c r="P91" s="3">
        <v>17250</v>
      </c>
      <c r="Q91" s="3">
        <v>8050</v>
      </c>
      <c r="R91" s="4">
        <v>0.31818181818181818</v>
      </c>
      <c r="S91" t="s">
        <v>43</v>
      </c>
      <c r="T91" t="s">
        <v>366</v>
      </c>
    </row>
    <row r="92" spans="1:20" x14ac:dyDescent="0.35">
      <c r="A92" t="s">
        <v>227</v>
      </c>
      <c r="B92" s="2" t="s">
        <v>360</v>
      </c>
      <c r="C92" s="2" t="s">
        <v>377</v>
      </c>
      <c r="D92" t="s">
        <v>133</v>
      </c>
      <c r="E92" t="s">
        <v>271</v>
      </c>
      <c r="F92" t="s">
        <v>24</v>
      </c>
      <c r="G92" t="s">
        <v>266</v>
      </c>
      <c r="H92" t="s">
        <v>272</v>
      </c>
      <c r="I92" t="s">
        <v>18</v>
      </c>
      <c r="J92" t="str">
        <f>VLOOKUP(I92,Product_Catalog!$A$1:$E$11,2,FALSE)</f>
        <v>Whole Milk Powder 400g</v>
      </c>
      <c r="K92" t="s">
        <v>250</v>
      </c>
      <c r="L92">
        <v>22</v>
      </c>
      <c r="M92" s="3">
        <v>1800</v>
      </c>
      <c r="N92" s="3">
        <v>2400</v>
      </c>
      <c r="O92" s="3">
        <v>52800</v>
      </c>
      <c r="P92" s="3">
        <v>39600</v>
      </c>
      <c r="Q92" s="3">
        <v>13200</v>
      </c>
      <c r="R92" s="4">
        <v>0.25</v>
      </c>
      <c r="S92" t="s">
        <v>48</v>
      </c>
      <c r="T92" t="s">
        <v>367</v>
      </c>
    </row>
    <row r="93" spans="1:20" x14ac:dyDescent="0.35">
      <c r="A93" t="s">
        <v>229</v>
      </c>
      <c r="B93" s="2" t="s">
        <v>331</v>
      </c>
      <c r="C93" s="2" t="s">
        <v>376</v>
      </c>
      <c r="D93" t="s">
        <v>146</v>
      </c>
      <c r="E93" t="s">
        <v>280</v>
      </c>
      <c r="F93" t="s">
        <v>42</v>
      </c>
      <c r="G93" t="s">
        <v>266</v>
      </c>
      <c r="H93" t="s">
        <v>281</v>
      </c>
      <c r="I93" t="s">
        <v>93</v>
      </c>
      <c r="J93" t="str">
        <f>VLOOKUP(I93,Product_Catalog!$A$1:$E$11,2,FALSE)</f>
        <v>Laundry Detergent 1kg</v>
      </c>
      <c r="K93" t="s">
        <v>252</v>
      </c>
      <c r="L93">
        <v>21</v>
      </c>
      <c r="M93" s="3">
        <v>850</v>
      </c>
      <c r="N93" s="3">
        <v>1200</v>
      </c>
      <c r="O93" s="3">
        <v>25200</v>
      </c>
      <c r="P93" s="3">
        <v>17850</v>
      </c>
      <c r="Q93" s="3">
        <v>7350</v>
      </c>
      <c r="R93" s="4">
        <v>0.29166666666666669</v>
      </c>
      <c r="S93" t="s">
        <v>26</v>
      </c>
      <c r="T93" t="s">
        <v>38</v>
      </c>
    </row>
    <row r="94" spans="1:20" x14ac:dyDescent="0.35">
      <c r="A94" t="s">
        <v>230</v>
      </c>
      <c r="B94" s="2" t="s">
        <v>300</v>
      </c>
      <c r="C94" s="2" t="s">
        <v>377</v>
      </c>
      <c r="D94" t="s">
        <v>146</v>
      </c>
      <c r="E94" t="s">
        <v>280</v>
      </c>
      <c r="F94" t="s">
        <v>42</v>
      </c>
      <c r="G94" t="s">
        <v>266</v>
      </c>
      <c r="H94" t="s">
        <v>281</v>
      </c>
      <c r="I94" t="s">
        <v>117</v>
      </c>
      <c r="J94" t="str">
        <f>VLOOKUP(I94,Product_Catalog!$A$1:$E$11,2,FALSE)</f>
        <v>Toilet Soap 120g</v>
      </c>
      <c r="K94" t="s">
        <v>256</v>
      </c>
      <c r="L94">
        <v>3</v>
      </c>
      <c r="M94" s="3">
        <v>300</v>
      </c>
      <c r="N94" s="3">
        <v>450</v>
      </c>
      <c r="O94" s="3">
        <v>1350</v>
      </c>
      <c r="P94" s="3">
        <v>900</v>
      </c>
      <c r="Q94" s="3">
        <v>450</v>
      </c>
      <c r="R94" s="4">
        <v>0.33333333333333331</v>
      </c>
      <c r="S94" t="s">
        <v>31</v>
      </c>
      <c r="T94" t="s">
        <v>44</v>
      </c>
    </row>
    <row r="95" spans="1:20" x14ac:dyDescent="0.35">
      <c r="A95" t="s">
        <v>231</v>
      </c>
      <c r="B95" s="2" t="s">
        <v>361</v>
      </c>
      <c r="C95" s="2" t="s">
        <v>372</v>
      </c>
      <c r="D95" t="s">
        <v>146</v>
      </c>
      <c r="E95" t="s">
        <v>280</v>
      </c>
      <c r="F95" t="s">
        <v>42</v>
      </c>
      <c r="G95" t="s">
        <v>266</v>
      </c>
      <c r="H95" t="s">
        <v>281</v>
      </c>
      <c r="I95" t="s">
        <v>126</v>
      </c>
      <c r="J95" t="str">
        <f>VLOOKUP(I95,Product_Catalog!$A$1:$E$11,2,FALSE)</f>
        <v>Malt Beverage 33cl</v>
      </c>
      <c r="K95" t="s">
        <v>246</v>
      </c>
      <c r="L95">
        <v>20</v>
      </c>
      <c r="M95" s="3">
        <v>250</v>
      </c>
      <c r="N95" s="3">
        <v>350</v>
      </c>
      <c r="O95" s="3">
        <v>7000</v>
      </c>
      <c r="P95" s="3">
        <v>5000</v>
      </c>
      <c r="Q95" s="3">
        <v>2000</v>
      </c>
      <c r="R95" s="4">
        <v>0.2857142857142857</v>
      </c>
      <c r="S95" t="s">
        <v>37</v>
      </c>
      <c r="T95" t="s">
        <v>366</v>
      </c>
    </row>
    <row r="96" spans="1:20" x14ac:dyDescent="0.35">
      <c r="A96" t="s">
        <v>233</v>
      </c>
      <c r="B96" s="2" t="s">
        <v>362</v>
      </c>
      <c r="C96" s="2" t="s">
        <v>372</v>
      </c>
      <c r="D96" t="s">
        <v>79</v>
      </c>
      <c r="E96" t="s">
        <v>284</v>
      </c>
      <c r="F96" t="s">
        <v>42</v>
      </c>
      <c r="G96" t="s">
        <v>269</v>
      </c>
      <c r="H96" t="s">
        <v>285</v>
      </c>
      <c r="I96" t="s">
        <v>93</v>
      </c>
      <c r="J96" t="str">
        <f>VLOOKUP(I96,Product_Catalog!$A$1:$E$11,2,FALSE)</f>
        <v>Laundry Detergent 1kg</v>
      </c>
      <c r="K96" t="s">
        <v>252</v>
      </c>
      <c r="L96">
        <v>21</v>
      </c>
      <c r="M96" s="3">
        <v>850</v>
      </c>
      <c r="N96" s="3">
        <v>1200</v>
      </c>
      <c r="O96" s="3">
        <v>25200</v>
      </c>
      <c r="P96" s="3">
        <v>17850</v>
      </c>
      <c r="Q96" s="3">
        <v>7350</v>
      </c>
      <c r="R96" s="4">
        <v>0.29166666666666669</v>
      </c>
      <c r="S96" t="s">
        <v>43</v>
      </c>
      <c r="T96" t="s">
        <v>367</v>
      </c>
    </row>
    <row r="97" spans="1:20" x14ac:dyDescent="0.35">
      <c r="A97" t="s">
        <v>235</v>
      </c>
      <c r="B97" s="2" t="s">
        <v>363</v>
      </c>
      <c r="C97" s="2" t="s">
        <v>377</v>
      </c>
      <c r="D97" t="s">
        <v>146</v>
      </c>
      <c r="E97" t="s">
        <v>280</v>
      </c>
      <c r="F97" t="s">
        <v>42</v>
      </c>
      <c r="G97" t="s">
        <v>266</v>
      </c>
      <c r="H97" t="s">
        <v>281</v>
      </c>
      <c r="I97" t="s">
        <v>126</v>
      </c>
      <c r="J97" t="str">
        <f>VLOOKUP(I97,Product_Catalog!$A$1:$E$11,2,FALSE)</f>
        <v>Malt Beverage 33cl</v>
      </c>
      <c r="K97" t="s">
        <v>246</v>
      </c>
      <c r="L97">
        <v>6</v>
      </c>
      <c r="M97" s="3">
        <v>250</v>
      </c>
      <c r="N97" s="3">
        <v>350</v>
      </c>
      <c r="O97" s="3">
        <v>2100</v>
      </c>
      <c r="P97" s="3">
        <v>1500</v>
      </c>
      <c r="Q97" s="3">
        <v>600</v>
      </c>
      <c r="R97" s="4">
        <v>0.2857142857142857</v>
      </c>
      <c r="S97" t="s">
        <v>48</v>
      </c>
      <c r="T97" t="s">
        <v>38</v>
      </c>
    </row>
    <row r="98" spans="1:20" x14ac:dyDescent="0.35">
      <c r="A98" t="s">
        <v>237</v>
      </c>
      <c r="B98" s="2" t="s">
        <v>364</v>
      </c>
      <c r="C98" s="2" t="s">
        <v>372</v>
      </c>
      <c r="D98" t="s">
        <v>63</v>
      </c>
      <c r="E98" t="s">
        <v>277</v>
      </c>
      <c r="F98" t="s">
        <v>42</v>
      </c>
      <c r="G98" t="s">
        <v>269</v>
      </c>
      <c r="H98" t="s">
        <v>278</v>
      </c>
      <c r="I98" t="s">
        <v>93</v>
      </c>
      <c r="J98" t="str">
        <f>VLOOKUP(I98,Product_Catalog!$A$1:$E$11,2,FALSE)</f>
        <v>Laundry Detergent 1kg</v>
      </c>
      <c r="K98" t="s">
        <v>252</v>
      </c>
      <c r="L98">
        <v>18</v>
      </c>
      <c r="M98" s="3">
        <v>850</v>
      </c>
      <c r="N98" s="3">
        <v>1200</v>
      </c>
      <c r="O98" s="3">
        <v>21600</v>
      </c>
      <c r="P98" s="3">
        <v>15300</v>
      </c>
      <c r="Q98" s="3">
        <v>6300</v>
      </c>
      <c r="R98" s="4">
        <v>0.29166666666666669</v>
      </c>
      <c r="S98" t="s">
        <v>26</v>
      </c>
      <c r="T98" t="s">
        <v>44</v>
      </c>
    </row>
    <row r="99" spans="1:20" x14ac:dyDescent="0.35">
      <c r="A99" t="s">
        <v>239</v>
      </c>
      <c r="B99" s="2" t="s">
        <v>339</v>
      </c>
      <c r="C99" s="2" t="s">
        <v>377</v>
      </c>
      <c r="D99" t="s">
        <v>131</v>
      </c>
      <c r="E99" t="s">
        <v>273</v>
      </c>
      <c r="F99" t="s">
        <v>42</v>
      </c>
      <c r="G99" t="s">
        <v>274</v>
      </c>
      <c r="H99" t="s">
        <v>275</v>
      </c>
      <c r="I99" t="s">
        <v>47</v>
      </c>
      <c r="J99" t="str">
        <f>VLOOKUP(I99,Product_Catalog!$A$1:$E$11,2,FALSE)</f>
        <v>Tomato Paste 400g</v>
      </c>
      <c r="K99" t="s">
        <v>254</v>
      </c>
      <c r="L99">
        <v>24</v>
      </c>
      <c r="M99" s="3">
        <v>600</v>
      </c>
      <c r="N99" s="3">
        <v>850</v>
      </c>
      <c r="O99" s="3">
        <v>20400</v>
      </c>
      <c r="P99" s="3">
        <v>14400</v>
      </c>
      <c r="Q99" s="3">
        <v>6000</v>
      </c>
      <c r="R99" s="4">
        <v>0.29411764705882354</v>
      </c>
      <c r="S99" t="s">
        <v>31</v>
      </c>
      <c r="T99" t="s">
        <v>366</v>
      </c>
    </row>
    <row r="100" spans="1:20" x14ac:dyDescent="0.35">
      <c r="A100" t="s">
        <v>240</v>
      </c>
      <c r="B100" s="2" t="s">
        <v>362</v>
      </c>
      <c r="C100" s="2" t="s">
        <v>372</v>
      </c>
      <c r="D100" t="s">
        <v>97</v>
      </c>
      <c r="E100" t="s">
        <v>288</v>
      </c>
      <c r="F100" t="s">
        <v>42</v>
      </c>
      <c r="G100" t="s">
        <v>266</v>
      </c>
      <c r="H100" t="s">
        <v>272</v>
      </c>
      <c r="I100" t="s">
        <v>18</v>
      </c>
      <c r="J100" t="str">
        <f>VLOOKUP(I100,Product_Catalog!$A$1:$E$11,2,FALSE)</f>
        <v>Whole Milk Powder 400g</v>
      </c>
      <c r="K100" t="s">
        <v>250</v>
      </c>
      <c r="L100">
        <v>8</v>
      </c>
      <c r="M100" s="3">
        <v>1800</v>
      </c>
      <c r="N100" s="3">
        <v>2400</v>
      </c>
      <c r="O100" s="3">
        <v>19200</v>
      </c>
      <c r="P100" s="3">
        <v>14400</v>
      </c>
      <c r="Q100" s="3">
        <v>4800</v>
      </c>
      <c r="R100" s="4">
        <v>0.25</v>
      </c>
      <c r="S100" t="s">
        <v>37</v>
      </c>
      <c r="T100" t="s">
        <v>367</v>
      </c>
    </row>
    <row r="101" spans="1:20" x14ac:dyDescent="0.35">
      <c r="A101" t="s">
        <v>241</v>
      </c>
      <c r="B101" s="2" t="s">
        <v>365</v>
      </c>
      <c r="C101" s="2" t="s">
        <v>375</v>
      </c>
      <c r="D101" t="s">
        <v>133</v>
      </c>
      <c r="E101" t="s">
        <v>271</v>
      </c>
      <c r="F101" t="s">
        <v>24</v>
      </c>
      <c r="G101" t="s">
        <v>266</v>
      </c>
      <c r="H101" t="s">
        <v>272</v>
      </c>
      <c r="I101" t="s">
        <v>36</v>
      </c>
      <c r="J101" t="str">
        <f>VLOOKUP(I101,Product_Catalog!$A$1:$E$11,2,FALSE)</f>
        <v>Fruit Juice 1L</v>
      </c>
      <c r="K101" t="s">
        <v>246</v>
      </c>
      <c r="L101">
        <v>6</v>
      </c>
      <c r="M101" s="3">
        <v>750</v>
      </c>
      <c r="N101" s="3">
        <v>1100</v>
      </c>
      <c r="O101" s="3">
        <v>6600</v>
      </c>
      <c r="P101" s="3">
        <v>4500</v>
      </c>
      <c r="Q101" s="3">
        <v>2100</v>
      </c>
      <c r="R101" s="4">
        <v>0.31818181818181818</v>
      </c>
      <c r="S101" t="s">
        <v>43</v>
      </c>
      <c r="T101" t="s">
        <v>38</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84612"/>
  </sheetPr>
  <dimension ref="A1:E11"/>
  <sheetViews>
    <sheetView workbookViewId="0"/>
  </sheetViews>
  <sheetFormatPr defaultRowHeight="14.5" x14ac:dyDescent="0.35"/>
  <sheetData>
    <row r="1" spans="1:5" x14ac:dyDescent="0.35">
      <c r="A1" s="1" t="s">
        <v>4</v>
      </c>
      <c r="B1" s="1" t="s">
        <v>243</v>
      </c>
      <c r="C1" s="1" t="s">
        <v>244</v>
      </c>
      <c r="D1" s="1" t="s">
        <v>6</v>
      </c>
      <c r="E1" s="1" t="s">
        <v>7</v>
      </c>
    </row>
    <row r="2" spans="1:5" x14ac:dyDescent="0.35">
      <c r="A2" t="s">
        <v>126</v>
      </c>
      <c r="B2" t="s">
        <v>245</v>
      </c>
      <c r="C2" t="s">
        <v>246</v>
      </c>
      <c r="D2">
        <v>250</v>
      </c>
      <c r="E2">
        <v>350</v>
      </c>
    </row>
    <row r="3" spans="1:5" x14ac:dyDescent="0.35">
      <c r="A3" t="s">
        <v>51</v>
      </c>
      <c r="B3" t="s">
        <v>247</v>
      </c>
      <c r="C3" t="s">
        <v>248</v>
      </c>
      <c r="D3">
        <v>120</v>
      </c>
      <c r="E3">
        <v>180</v>
      </c>
    </row>
    <row r="4" spans="1:5" x14ac:dyDescent="0.35">
      <c r="A4" t="s">
        <v>18</v>
      </c>
      <c r="B4" t="s">
        <v>249</v>
      </c>
      <c r="C4" t="s">
        <v>250</v>
      </c>
      <c r="D4">
        <v>1800</v>
      </c>
      <c r="E4">
        <v>2400</v>
      </c>
    </row>
    <row r="5" spans="1:5" x14ac:dyDescent="0.35">
      <c r="A5" t="s">
        <v>93</v>
      </c>
      <c r="B5" t="s">
        <v>251</v>
      </c>
      <c r="C5" t="s">
        <v>252</v>
      </c>
      <c r="D5">
        <v>850</v>
      </c>
      <c r="E5">
        <v>1200</v>
      </c>
    </row>
    <row r="6" spans="1:5" x14ac:dyDescent="0.35">
      <c r="A6" t="s">
        <v>25</v>
      </c>
      <c r="B6" t="s">
        <v>253</v>
      </c>
      <c r="C6" t="s">
        <v>254</v>
      </c>
      <c r="D6">
        <v>2200</v>
      </c>
      <c r="E6">
        <v>2900</v>
      </c>
    </row>
    <row r="7" spans="1:5" x14ac:dyDescent="0.35">
      <c r="A7" t="s">
        <v>117</v>
      </c>
      <c r="B7" t="s">
        <v>255</v>
      </c>
      <c r="C7" t="s">
        <v>256</v>
      </c>
      <c r="D7">
        <v>300</v>
      </c>
      <c r="E7">
        <v>450</v>
      </c>
    </row>
    <row r="8" spans="1:5" x14ac:dyDescent="0.35">
      <c r="A8" t="s">
        <v>30</v>
      </c>
      <c r="B8" t="s">
        <v>257</v>
      </c>
      <c r="C8" t="s">
        <v>258</v>
      </c>
      <c r="D8">
        <v>6500</v>
      </c>
      <c r="E8">
        <v>8500</v>
      </c>
    </row>
    <row r="9" spans="1:5" x14ac:dyDescent="0.35">
      <c r="A9" t="s">
        <v>47</v>
      </c>
      <c r="B9" t="s">
        <v>259</v>
      </c>
      <c r="C9" t="s">
        <v>254</v>
      </c>
      <c r="D9">
        <v>600</v>
      </c>
      <c r="E9">
        <v>850</v>
      </c>
    </row>
    <row r="10" spans="1:5" x14ac:dyDescent="0.35">
      <c r="A10" t="s">
        <v>36</v>
      </c>
      <c r="B10" t="s">
        <v>260</v>
      </c>
      <c r="C10" t="s">
        <v>246</v>
      </c>
      <c r="D10">
        <v>750</v>
      </c>
      <c r="E10">
        <v>1100</v>
      </c>
    </row>
    <row r="11" spans="1:5" x14ac:dyDescent="0.35">
      <c r="A11" t="s">
        <v>85</v>
      </c>
      <c r="B11" t="s">
        <v>261</v>
      </c>
      <c r="C11" t="s">
        <v>256</v>
      </c>
      <c r="D11">
        <v>450</v>
      </c>
      <c r="E11">
        <v>650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84612"/>
  </sheetPr>
  <dimension ref="A1:E16"/>
  <sheetViews>
    <sheetView workbookViewId="0"/>
  </sheetViews>
  <sheetFormatPr defaultRowHeight="14.5" x14ac:dyDescent="0.35"/>
  <sheetData>
    <row r="1" spans="1:5" x14ac:dyDescent="0.35">
      <c r="A1" s="1" t="s">
        <v>2</v>
      </c>
      <c r="B1" s="1" t="s">
        <v>262</v>
      </c>
      <c r="C1" s="1" t="s">
        <v>3</v>
      </c>
      <c r="D1" s="1" t="s">
        <v>263</v>
      </c>
      <c r="E1" s="1" t="s">
        <v>264</v>
      </c>
    </row>
    <row r="2" spans="1:5" x14ac:dyDescent="0.35">
      <c r="A2" t="s">
        <v>16</v>
      </c>
      <c r="B2" t="s">
        <v>265</v>
      </c>
      <c r="C2" t="s">
        <v>24</v>
      </c>
      <c r="D2" t="s">
        <v>266</v>
      </c>
      <c r="E2" t="s">
        <v>267</v>
      </c>
    </row>
    <row r="3" spans="1:5" x14ac:dyDescent="0.35">
      <c r="A3" t="s">
        <v>157</v>
      </c>
      <c r="B3" t="s">
        <v>268</v>
      </c>
      <c r="C3" t="s">
        <v>42</v>
      </c>
      <c r="D3" t="s">
        <v>269</v>
      </c>
      <c r="E3" t="s">
        <v>270</v>
      </c>
    </row>
    <row r="4" spans="1:5" x14ac:dyDescent="0.35">
      <c r="A4" t="s">
        <v>133</v>
      </c>
      <c r="B4" t="s">
        <v>271</v>
      </c>
      <c r="C4" t="s">
        <v>24</v>
      </c>
      <c r="D4" t="s">
        <v>266</v>
      </c>
      <c r="E4" t="s">
        <v>272</v>
      </c>
    </row>
    <row r="5" spans="1:5" x14ac:dyDescent="0.35">
      <c r="A5" t="s">
        <v>131</v>
      </c>
      <c r="B5" t="s">
        <v>273</v>
      </c>
      <c r="C5" t="s">
        <v>42</v>
      </c>
      <c r="D5" t="s">
        <v>274</v>
      </c>
      <c r="E5" t="s">
        <v>275</v>
      </c>
    </row>
    <row r="6" spans="1:5" x14ac:dyDescent="0.35">
      <c r="A6" t="s">
        <v>57</v>
      </c>
      <c r="B6" t="s">
        <v>276</v>
      </c>
      <c r="C6" t="s">
        <v>24</v>
      </c>
      <c r="D6" t="s">
        <v>266</v>
      </c>
      <c r="E6" t="s">
        <v>267</v>
      </c>
    </row>
    <row r="7" spans="1:5" x14ac:dyDescent="0.35">
      <c r="A7" t="s">
        <v>63</v>
      </c>
      <c r="B7" t="s">
        <v>277</v>
      </c>
      <c r="C7" t="s">
        <v>42</v>
      </c>
      <c r="D7" t="s">
        <v>269</v>
      </c>
      <c r="E7" t="s">
        <v>278</v>
      </c>
    </row>
    <row r="8" spans="1:5" x14ac:dyDescent="0.35">
      <c r="A8" t="s">
        <v>53</v>
      </c>
      <c r="B8" t="s">
        <v>279</v>
      </c>
      <c r="C8" t="s">
        <v>24</v>
      </c>
      <c r="D8" t="s">
        <v>266</v>
      </c>
      <c r="E8" t="s">
        <v>272</v>
      </c>
    </row>
    <row r="9" spans="1:5" x14ac:dyDescent="0.35">
      <c r="A9" t="s">
        <v>146</v>
      </c>
      <c r="B9" t="s">
        <v>280</v>
      </c>
      <c r="C9" t="s">
        <v>42</v>
      </c>
      <c r="D9" t="s">
        <v>266</v>
      </c>
      <c r="E9" t="s">
        <v>281</v>
      </c>
    </row>
    <row r="10" spans="1:5" x14ac:dyDescent="0.35">
      <c r="A10" t="s">
        <v>41</v>
      </c>
      <c r="B10" t="s">
        <v>282</v>
      </c>
      <c r="C10" t="s">
        <v>42</v>
      </c>
      <c r="D10" t="s">
        <v>274</v>
      </c>
      <c r="E10" t="s">
        <v>267</v>
      </c>
    </row>
    <row r="11" spans="1:5" x14ac:dyDescent="0.35">
      <c r="A11" t="s">
        <v>23</v>
      </c>
      <c r="B11" t="s">
        <v>283</v>
      </c>
      <c r="C11" t="s">
        <v>24</v>
      </c>
      <c r="D11" t="s">
        <v>266</v>
      </c>
      <c r="E11" t="s">
        <v>270</v>
      </c>
    </row>
    <row r="12" spans="1:5" x14ac:dyDescent="0.35">
      <c r="A12" t="s">
        <v>79</v>
      </c>
      <c r="B12" t="s">
        <v>284</v>
      </c>
      <c r="C12" t="s">
        <v>42</v>
      </c>
      <c r="D12" t="s">
        <v>269</v>
      </c>
      <c r="E12" t="s">
        <v>285</v>
      </c>
    </row>
    <row r="13" spans="1:5" x14ac:dyDescent="0.35">
      <c r="A13" t="s">
        <v>35</v>
      </c>
      <c r="B13" t="s">
        <v>286</v>
      </c>
      <c r="C13" t="s">
        <v>24</v>
      </c>
      <c r="D13" t="s">
        <v>266</v>
      </c>
      <c r="E13" t="s">
        <v>275</v>
      </c>
    </row>
    <row r="14" spans="1:5" x14ac:dyDescent="0.35">
      <c r="A14" t="s">
        <v>92</v>
      </c>
      <c r="B14" t="s">
        <v>287</v>
      </c>
      <c r="C14" t="s">
        <v>42</v>
      </c>
      <c r="D14" t="s">
        <v>274</v>
      </c>
      <c r="E14" t="s">
        <v>267</v>
      </c>
    </row>
    <row r="15" spans="1:5" x14ac:dyDescent="0.35">
      <c r="A15" t="s">
        <v>97</v>
      </c>
      <c r="B15" t="s">
        <v>288</v>
      </c>
      <c r="C15" t="s">
        <v>42</v>
      </c>
      <c r="D15" t="s">
        <v>266</v>
      </c>
      <c r="E15" t="s">
        <v>272</v>
      </c>
    </row>
    <row r="16" spans="1:5" x14ac:dyDescent="0.35">
      <c r="A16" t="s">
        <v>76</v>
      </c>
      <c r="B16" t="s">
        <v>289</v>
      </c>
      <c r="C16" t="s">
        <v>24</v>
      </c>
      <c r="D16" t="s">
        <v>269</v>
      </c>
      <c r="E16" t="s">
        <v>281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Sales_Transactions</vt:lpstr>
      <vt:lpstr>Dashboard</vt:lpstr>
      <vt:lpstr>PIVOT_TABLES</vt:lpstr>
      <vt:lpstr>Cleaned_Sales_Data</vt:lpstr>
      <vt:lpstr>Product_Catalog</vt:lpstr>
      <vt:lpstr>Customer_Profiles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anyanwumatthewdavid@gmail.com</cp:lastModifiedBy>
  <dcterms:created xsi:type="dcterms:W3CDTF">2026-08-13T08:27:22Z</dcterms:created>
  <dcterms:modified xsi:type="dcterms:W3CDTF">2026-10-10T13:27:26Z</dcterms:modified>
</cp:coreProperties>
</file>